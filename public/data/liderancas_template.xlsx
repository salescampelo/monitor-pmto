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deranca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Instrucoes" sheetId="3" state="visible" r:id="rId3"/>
  </sheets>
  <definedNames>
    <definedName name="_xlnm._FilterDatabase" localSheetId="0" hidden="1">'Liderancas'!$A$2:$N$141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22">
    <font>
      <name val="Calibri"/>
      <family val="2"/>
      <color theme="1"/>
      <sz val="11"/>
      <scheme val="minor"/>
    </font>
    <font>
      <name val="Arial"/>
      <b val="1"/>
      <color rgb="001A2744"/>
      <sz val="11"/>
    </font>
    <font>
      <name val="Arial"/>
      <b val="1"/>
      <color rgb="00FFFFFF"/>
      <sz val="10"/>
    </font>
    <font>
      <name val="Arial"/>
      <b val="1"/>
      <color rgb="001A2744"/>
      <sz val="10"/>
    </font>
    <font>
      <name val="Arial"/>
      <color rgb="00B91C1C"/>
      <sz val="10"/>
    </font>
    <font>
      <name val="Arial"/>
      <b val="1"/>
      <color rgb="00B91C1C"/>
      <sz val="10"/>
    </font>
    <font>
      <name val="Arial"/>
      <color rgb="001A2744"/>
      <sz val="10"/>
    </font>
    <font>
      <name val="Arial"/>
      <b val="1"/>
      <color rgb="00D4A017"/>
      <sz val="10"/>
    </font>
    <font>
      <name val="Arial"/>
      <b val="1"/>
      <color rgb="001A3A7A"/>
      <sz val="10"/>
    </font>
    <font>
      <name val="Arial"/>
      <color rgb="008C93A8"/>
      <sz val="10"/>
    </font>
    <font>
      <name val="Arial"/>
      <b val="1"/>
      <color rgb="00D4A017"/>
      <sz val="16"/>
    </font>
    <font>
      <name val="Arial"/>
      <color rgb="00FFFFFF"/>
      <sz val="11"/>
    </font>
    <font>
      <name val="Arial"/>
      <b val="1"/>
      <color rgb="001A2744"/>
      <sz val="24"/>
    </font>
    <font>
      <name val="Arial"/>
      <b val="1"/>
      <color rgb="0015803D"/>
      <sz val="24"/>
    </font>
    <font>
      <name val="Arial"/>
      <b val="1"/>
      <color rgb="00D4A017"/>
      <sz val="24"/>
    </font>
    <font>
      <name val="Arial"/>
      <b val="1"/>
      <color rgb="001A3A7A"/>
      <sz val="24"/>
    </font>
    <font>
      <name val="Arial"/>
      <b val="1"/>
      <color rgb="00B91C1C"/>
      <sz val="24"/>
    </font>
    <font>
      <name val="Arial"/>
      <b val="1"/>
      <color rgb="008C93A8"/>
      <sz val="24"/>
    </font>
    <font>
      <name val="Arial"/>
      <b val="1"/>
      <color rgb="0015803D"/>
      <sz val="18"/>
    </font>
    <font>
      <name val="Arial"/>
      <b val="1"/>
      <color rgb="001A2744"/>
      <sz val="11"/>
      <u val="single"/>
    </font>
    <font>
      <name val="Arial"/>
      <b val="1"/>
      <color rgb="00D4A017"/>
      <sz val="14"/>
    </font>
    <font>
      <name val="Arial"/>
      <i val="1"/>
      <color rgb="008C93A8"/>
      <sz val="10"/>
    </font>
  </fonts>
  <fills count="16">
    <fill>
      <patternFill/>
    </fill>
    <fill>
      <patternFill patternType="gray125"/>
    </fill>
    <fill>
      <patternFill patternType="solid">
        <fgColor rgb="00D4A017"/>
        <bgColor rgb="00D4A017"/>
      </patternFill>
    </fill>
    <fill>
      <patternFill patternType="solid">
        <fgColor rgb="001A2744"/>
        <bgColor rgb="001A2744"/>
      </patternFill>
    </fill>
    <fill>
      <patternFill patternType="solid">
        <fgColor rgb="00F5F3EE"/>
        <bgColor rgb="00F5F3EE"/>
      </patternFill>
    </fill>
    <fill>
      <patternFill patternType="solid">
        <fgColor rgb="00F6E3E3"/>
        <bgColor rgb="00F6E3E3"/>
      </patternFill>
    </fill>
    <fill>
      <patternFill patternType="solid">
        <fgColor rgb="00FFFFFF"/>
        <bgColor rgb="00FFFFFF"/>
      </patternFill>
    </fill>
    <fill>
      <patternFill patternType="solid">
        <fgColor rgb="00FAF3E2"/>
        <bgColor rgb="00FAF3E2"/>
      </patternFill>
    </fill>
    <fill>
      <patternFill patternType="solid">
        <fgColor rgb="00F8F7F4"/>
        <bgColor rgb="00F8F7F4"/>
      </patternFill>
    </fill>
    <fill>
      <patternFill patternType="solid">
        <fgColor rgb="00E2E6EE"/>
        <bgColor rgb="00E2E6EE"/>
      </patternFill>
    </fill>
    <fill>
      <patternFill patternType="solid">
        <fgColor rgb="00F1F2F4"/>
        <bgColor rgb="00F1F2F4"/>
      </patternFill>
    </fill>
    <fill>
      <patternFill patternType="solid">
        <fgColor rgb="0015803D"/>
        <bgColor rgb="0015803D"/>
      </patternFill>
    </fill>
    <fill>
      <patternFill patternType="solid">
        <fgColor rgb="001A3A7A"/>
        <bgColor rgb="001A3A7A"/>
      </patternFill>
    </fill>
    <fill>
      <patternFill patternType="solid">
        <fgColor rgb="00B91C1C"/>
        <bgColor rgb="00B91C1C"/>
      </patternFill>
    </fill>
    <fill>
      <patternFill patternType="solid">
        <fgColor rgb="008C93A8"/>
        <bgColor rgb="008C93A8"/>
      </patternFill>
    </fill>
    <fill>
      <patternFill patternType="solid">
        <fgColor rgb="00E2EFE7"/>
        <bgColor rgb="00E2EFE7"/>
      </patternFill>
    </fill>
  </fills>
  <borders count="20">
    <border>
      <left/>
      <right/>
      <top/>
      <bottom/>
      <diagonal/>
    </border>
    <border>
      <left style="thin">
        <color rgb="00E0DDD5"/>
      </left>
      <right style="thin">
        <color rgb="00E0DDD5"/>
      </right>
      <top style="thin">
        <color rgb="00E0DDD5"/>
      </top>
      <bottom style="thin">
        <color rgb="00E0DDD5"/>
      </bottom>
    </border>
    <border>
      <left style="medium">
        <color rgb="00B91C1C"/>
      </left>
      <right style="thin">
        <color rgb="00E0DDD5"/>
      </right>
      <top style="thin">
        <color rgb="00E0DDD5"/>
      </top>
      <bottom style="thin">
        <color rgb="00E0DDD5"/>
      </bottom>
    </border>
    <border>
      <left style="medium">
        <color rgb="008C93A8"/>
      </left>
      <right style="thin">
        <color rgb="00E0DDD5"/>
      </right>
      <top style="thin">
        <color rgb="00E0DDD5"/>
      </top>
      <bottom style="thin">
        <color rgb="00E0DDD5"/>
      </bottom>
    </border>
    <border>
      <left style="medium">
        <color rgb="001A2744"/>
      </left>
      <right style="thin">
        <color rgb="00E0DDD5"/>
      </right>
      <top style="medium">
        <color rgb="001A2744"/>
      </top>
      <bottom style="thin">
        <color rgb="00E0DDD5"/>
      </bottom>
    </border>
    <border>
      <left style="thin">
        <color rgb="00E0DDD5"/>
      </left>
      <right style="thin">
        <color rgb="00E0DDD5"/>
      </right>
      <top style="medium">
        <color rgb="001A2744"/>
      </top>
      <bottom style="thin">
        <color rgb="00E0DDD5"/>
      </bottom>
    </border>
    <border>
      <left style="thin">
        <color rgb="00E0DDD5"/>
      </left>
      <right style="medium">
        <color rgb="00D4A017"/>
      </right>
      <top style="medium">
        <color rgb="001A2744"/>
      </top>
      <bottom style="thin">
        <color rgb="00E0DDD5"/>
      </bottom>
    </border>
    <border>
      <left style="medium">
        <color rgb="00D4A017"/>
      </left>
      <right style="thin">
        <color rgb="00E0DDD5"/>
      </right>
      <top style="medium">
        <color rgb="001A2744"/>
      </top>
      <bottom style="thin">
        <color rgb="00E0DDD5"/>
      </bottom>
    </border>
    <border>
      <left style="thin">
        <color rgb="00E0DDD5"/>
      </left>
      <right style="medium">
        <color rgb="001A2744"/>
      </right>
      <top style="medium">
        <color rgb="001A2744"/>
      </top>
      <bottom style="thin">
        <color rgb="00E0DDD5"/>
      </bottom>
    </border>
    <border>
      <left style="medium">
        <color rgb="001A2744"/>
      </left>
      <right style="thin">
        <color rgb="00E0DDD5"/>
      </right>
      <top style="thin">
        <color rgb="00E0DDD5"/>
      </top>
      <bottom style="thin">
        <color rgb="00E0DDD5"/>
      </bottom>
    </border>
    <border>
      <left style="thin">
        <color rgb="00E0DDD5"/>
      </left>
      <right style="medium">
        <color rgb="00D4A017"/>
      </right>
      <top style="thin">
        <color rgb="00E0DDD5"/>
      </top>
      <bottom style="thin">
        <color rgb="00E0DDD5"/>
      </bottom>
    </border>
    <border>
      <left style="medium">
        <color rgb="00D4A017"/>
      </left>
      <right style="thin">
        <color rgb="00E0DDD5"/>
      </right>
      <top style="thin">
        <color rgb="00E0DDD5"/>
      </top>
      <bottom style="thin">
        <color rgb="00E0DDD5"/>
      </bottom>
    </border>
    <border>
      <left style="thin">
        <color rgb="00E0DDD5"/>
      </left>
      <right style="medium">
        <color rgb="001A2744"/>
      </right>
      <top style="thin">
        <color rgb="00E0DDD5"/>
      </top>
      <bottom style="thin">
        <color rgb="00E0DDD5"/>
      </bottom>
    </border>
    <border>
      <left style="medium">
        <color rgb="001A2744"/>
      </left>
      <right style="thin">
        <color rgb="00E0DDD5"/>
      </right>
      <top style="thin">
        <color rgb="00E0DDD5"/>
      </top>
      <bottom style="medium">
        <color rgb="001A2744"/>
      </bottom>
    </border>
    <border>
      <left style="thin">
        <color rgb="00E0DDD5"/>
      </left>
      <right style="thin">
        <color rgb="00E0DDD5"/>
      </right>
      <top style="thin">
        <color rgb="00E0DDD5"/>
      </top>
      <bottom style="medium">
        <color rgb="001A2744"/>
      </bottom>
    </border>
    <border>
      <left style="thin">
        <color rgb="00E0DDD5"/>
      </left>
      <right style="medium">
        <color rgb="00D4A017"/>
      </right>
      <top style="thin">
        <color rgb="00E0DDD5"/>
      </top>
      <bottom style="medium">
        <color rgb="001A2744"/>
      </bottom>
    </border>
    <border>
      <left style="medium">
        <color rgb="00D4A017"/>
      </left>
      <right style="thin">
        <color rgb="00E0DDD5"/>
      </right>
      <top style="thin">
        <color rgb="00E0DDD5"/>
      </top>
      <bottom style="medium">
        <color rgb="001A2744"/>
      </bottom>
    </border>
    <border>
      <left style="thin">
        <color rgb="00E0DDD5"/>
      </left>
      <right style="medium">
        <color rgb="001A2744"/>
      </right>
      <top style="thin">
        <color rgb="00E0DDD5"/>
      </top>
      <bottom style="medium">
        <color rgb="001A2744"/>
      </bottom>
    </border>
    <border>
      <left style="medium">
        <color rgb="001A2744"/>
      </left>
      <right style="medium">
        <color rgb="001A2744"/>
      </right>
      <top style="medium">
        <color rgb="001A2744"/>
      </top>
      <bottom style="medium">
        <color rgb="001A2744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" fillId="2" borderId="7" applyAlignment="1" pivotButton="0" quotePrefix="0" xfId="0">
      <alignment horizontal="center" vertical="center"/>
    </xf>
    <xf numFmtId="0" fontId="0" fillId="0" borderId="8" pivotButton="0" quotePrefix="0" xfId="0"/>
    <xf numFmtId="0" fontId="2" fillId="3" borderId="9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0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0" fontId="3" fillId="4" borderId="9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6" fillId="6" borderId="10" applyAlignment="1" pivotButton="0" quotePrefix="0" xfId="0">
      <alignment horizontal="center" vertical="center"/>
    </xf>
    <xf numFmtId="0" fontId="6" fillId="6" borderId="1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0" applyAlignment="1" pivotButton="0" quotePrefix="0" xfId="0">
      <alignment horizontal="center" vertical="center"/>
    </xf>
    <xf numFmtId="3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center" vertical="center"/>
    </xf>
    <xf numFmtId="0" fontId="6" fillId="6" borderId="12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164" fontId="6" fillId="8" borderId="10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6" fillId="8" borderId="10" applyAlignment="1" pivotButton="0" quotePrefix="0" xfId="0">
      <alignment horizontal="center" vertical="center"/>
    </xf>
    <xf numFmtId="0" fontId="6" fillId="8" borderId="12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3" fillId="4" borderId="13" applyAlignment="1" pivotButton="0" quotePrefix="0" xfId="0">
      <alignment horizontal="left" vertical="center"/>
    </xf>
    <xf numFmtId="0" fontId="9" fillId="10" borderId="14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/>
    </xf>
    <xf numFmtId="0" fontId="5" fillId="5" borderId="14" applyAlignment="1" pivotButton="0" quotePrefix="0" xfId="0">
      <alignment horizontal="center" vertical="center"/>
    </xf>
    <xf numFmtId="164" fontId="6" fillId="6" borderId="15" applyAlignment="1" pivotButton="0" quotePrefix="0" xfId="0">
      <alignment horizontal="center" vertical="center"/>
    </xf>
    <xf numFmtId="0" fontId="6" fillId="6" borderId="16" applyAlignment="1" pivotButton="0" quotePrefix="0" xfId="0">
      <alignment horizontal="left" vertical="center"/>
    </xf>
    <xf numFmtId="0" fontId="6" fillId="6" borderId="14" applyAlignment="1" pivotButton="0" quotePrefix="0" xfId="0">
      <alignment horizontal="left" vertical="center"/>
    </xf>
    <xf numFmtId="0" fontId="6" fillId="6" borderId="15" applyAlignment="1" pivotButton="0" quotePrefix="0" xfId="0">
      <alignment horizontal="center" vertical="center"/>
    </xf>
    <xf numFmtId="3" fontId="6" fillId="4" borderId="14" applyAlignment="1" pivotButton="0" quotePrefix="0" xfId="0">
      <alignment horizontal="right" vertical="center"/>
    </xf>
    <xf numFmtId="165" fontId="6" fillId="4" borderId="14" applyAlignment="1" pivotButton="0" quotePrefix="0" xfId="0">
      <alignment horizontal="center" vertical="center"/>
    </xf>
    <xf numFmtId="0" fontId="6" fillId="6" borderId="17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2" fillId="3" borderId="18" applyAlignment="1" pivotButton="0" quotePrefix="0" xfId="0">
      <alignment horizontal="center" vertical="center"/>
    </xf>
    <xf numFmtId="0" fontId="2" fillId="11" borderId="18" applyAlignment="1" pivotButton="0" quotePrefix="0" xfId="0">
      <alignment horizontal="center" vertical="center"/>
    </xf>
    <xf numFmtId="0" fontId="3" fillId="2" borderId="18" applyAlignment="1" pivotButton="0" quotePrefix="0" xfId="0">
      <alignment horizontal="center" vertical="center"/>
    </xf>
    <xf numFmtId="0" fontId="2" fillId="12" borderId="18" applyAlignment="1" pivotButton="0" quotePrefix="0" xfId="0">
      <alignment horizontal="center" vertical="center"/>
    </xf>
    <xf numFmtId="0" fontId="2" fillId="13" borderId="18" applyAlignment="1" pivotButton="0" quotePrefix="0" xfId="0">
      <alignment horizontal="center" vertical="center"/>
    </xf>
    <xf numFmtId="0" fontId="2" fillId="14" borderId="18" applyAlignment="1" pivotButton="0" quotePrefix="0" xfId="0">
      <alignment horizontal="center" vertical="center"/>
    </xf>
    <xf numFmtId="0" fontId="12" fillId="6" borderId="18" applyAlignment="1" pivotButton="0" quotePrefix="0" xfId="0">
      <alignment horizontal="center" vertical="center"/>
    </xf>
    <xf numFmtId="0" fontId="13" fillId="6" borderId="18" applyAlignment="1" pivotButton="0" quotePrefix="0" xfId="0">
      <alignment horizontal="center" vertical="center"/>
    </xf>
    <xf numFmtId="0" fontId="14" fillId="6" borderId="18" applyAlignment="1" pivotButton="0" quotePrefix="0" xfId="0">
      <alignment horizontal="center" vertical="center"/>
    </xf>
    <xf numFmtId="0" fontId="15" fillId="6" borderId="18" applyAlignment="1" pivotButton="0" quotePrefix="0" xfId="0">
      <alignment horizontal="center" vertical="center"/>
    </xf>
    <xf numFmtId="0" fontId="16" fillId="6" borderId="18" applyAlignment="1" pivotButton="0" quotePrefix="0" xfId="0">
      <alignment horizontal="center" vertical="center"/>
    </xf>
    <xf numFmtId="0" fontId="17" fillId="6" borderId="18" applyAlignment="1" pivotButton="0" quotePrefix="0" xfId="0">
      <alignment horizontal="center" vertical="center"/>
    </xf>
    <xf numFmtId="0" fontId="1" fillId="0" borderId="0" pivotButton="0" quotePrefix="0" xfId="0"/>
    <xf numFmtId="165" fontId="1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9" fillId="0" borderId="0" pivotButton="0" quotePrefix="0" xfId="0"/>
    <xf numFmtId="0" fontId="6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0" fillId="8" borderId="0" pivotButton="0" quotePrefix="0" xfId="0"/>
    <xf numFmtId="0" fontId="19" fillId="8" borderId="0" pivotButton="0" quotePrefix="0" xfId="0"/>
    <xf numFmtId="0" fontId="6" fillId="8" borderId="0" pivotButton="0" quotePrefix="0" xfId="0"/>
    <xf numFmtId="0" fontId="4" fillId="8" borderId="0" pivotButton="0" quotePrefix="0" xfId="0"/>
    <xf numFmtId="0" fontId="0" fillId="15" borderId="19" pivotButton="0" quotePrefix="0" xfId="0"/>
    <xf numFmtId="0" fontId="0" fillId="7" borderId="19" pivotButton="0" quotePrefix="0" xfId="0"/>
    <xf numFmtId="0" fontId="0" fillId="9" borderId="19" pivotButton="0" quotePrefix="0" xfId="0"/>
    <xf numFmtId="0" fontId="0" fillId="5" borderId="19" pivotButton="0" quotePrefix="0" xfId="0"/>
    <xf numFmtId="0" fontId="0" fillId="10" borderId="19" pivotButton="0" quotePrefix="0" xfId="0"/>
    <xf numFmtId="0" fontId="21" fillId="8" borderId="0" pivotButton="0" quotePrefix="0" xfId="0"/>
  </cellXfs>
  <cellStyles count="1">
    <cellStyle name="Normal" xfId="0" builtinId="0" hidden="0"/>
  </cellStyles>
  <dxfs count="11">
    <dxf>
      <font>
        <name val="Arial"/>
        <color rgb="0015803D"/>
        <sz val="10"/>
      </font>
      <fill>
        <patternFill patternType="solid">
          <fgColor rgb="00E2EFE7"/>
          <bgColor rgb="00E2EFE7"/>
        </patternFill>
      </fill>
    </dxf>
    <dxf>
      <font>
        <name val="Arial"/>
        <color rgb="00D4A017"/>
        <sz val="10"/>
      </font>
      <fill>
        <patternFill patternType="solid">
          <fgColor rgb="00FAF3E2"/>
          <bgColor rgb="00FAF3E2"/>
        </patternFill>
      </fill>
    </dxf>
    <dxf>
      <font>
        <name val="Arial"/>
        <color rgb="001A3A7A"/>
        <sz val="10"/>
      </font>
      <fill>
        <patternFill patternType="solid">
          <fgColor rgb="00E2E6EE"/>
          <bgColor rgb="00E2E6EE"/>
        </patternFill>
      </fill>
    </dxf>
    <dxf>
      <font>
        <name val="Arial"/>
        <color rgb="00B91C1C"/>
        <sz val="10"/>
      </font>
      <fill>
        <patternFill patternType="solid">
          <fgColor rgb="00F6E3E3"/>
          <bgColor rgb="00F6E3E3"/>
        </patternFill>
      </fill>
    </dxf>
    <dxf>
      <font>
        <name val="Arial"/>
        <color rgb="008C93A8"/>
        <sz val="10"/>
      </font>
      <fill>
        <patternFill patternType="solid">
          <fgColor rgb="00F1F2F4"/>
          <bgColor rgb="00F1F2F4"/>
        </patternFill>
      </fill>
    </dxf>
    <dxf>
      <font>
        <name val="Arial"/>
        <b val="1"/>
        <color rgb="00B91C1C"/>
        <sz val="10"/>
      </font>
    </dxf>
    <dxf>
      <font>
        <name val="Arial"/>
        <b val="1"/>
        <color rgb="00D4A017"/>
        <sz val="10"/>
      </font>
    </dxf>
    <dxf>
      <font>
        <name val="Arial"/>
        <b val="1"/>
        <color rgb="0015803D"/>
        <sz val="10"/>
      </font>
    </dxf>
    <dxf>
      <font>
        <name val="Arial"/>
        <b val="1"/>
        <color rgb="001A3A7A"/>
        <sz val="10"/>
      </font>
      <fill>
        <patternFill patternType="solid">
          <fgColor rgb="00E2E6EE"/>
          <bgColor rgb="00E2E6EE"/>
        </patternFill>
      </fill>
    </dxf>
    <dxf>
      <font>
        <name val="Arial"/>
        <b val="1"/>
        <color rgb="00D4A017"/>
        <sz val="10"/>
      </font>
      <fill>
        <patternFill patternType="solid">
          <fgColor rgb="00FAF3E2"/>
          <bgColor rgb="00FAF3E2"/>
        </patternFill>
      </fill>
    </dxf>
    <dxf>
      <font>
        <name val="Arial"/>
        <b val="1"/>
        <color rgb="00B91C1C"/>
        <sz val="10"/>
      </font>
      <fill>
        <patternFill patternType="solid">
          <fgColor rgb="00F6E3E3"/>
          <bgColor rgb="00F6E3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6" customWidth="1" min="4" max="4"/>
    <col width="14" customWidth="1" min="5" max="5"/>
    <col width="28" customWidth="1" min="6" max="6"/>
    <col width="22" customWidth="1" min="7" max="7"/>
    <col width="18" customWidth="1" min="8" max="8"/>
    <col width="12" customWidth="1" min="9" max="9"/>
    <col width="16" customWidth="1" min="10" max="10"/>
    <col width="14" customWidth="1" min="11" max="11"/>
    <col width="12" customWidth="1" min="12" max="12"/>
    <col width="12" customWidth="1" min="13" max="13"/>
    <col width="40" customWidth="1" min="14" max="14"/>
  </cols>
  <sheetData>
    <row r="1" ht="22" customHeight="1">
      <c r="A1" s="1" t="inlineStr">
        <is>
          <t>MUNICIPIO E CAMPO</t>
        </is>
      </c>
      <c r="B1" s="2" t="n"/>
      <c r="C1" s="2" t="n"/>
      <c r="D1" s="2" t="n"/>
      <c r="E1" s="3" t="n"/>
      <c r="F1" s="4" t="inlineStr">
        <is>
          <t>LIDERANCA LOCAL</t>
        </is>
      </c>
      <c r="G1" s="2" t="n"/>
      <c r="H1" s="2" t="n"/>
      <c r="I1" s="3" t="n"/>
      <c r="J1" s="4" t="inlineStr">
        <is>
          <t>DADOS ELEITORAIS (automatico)</t>
        </is>
      </c>
      <c r="K1" s="2" t="n"/>
      <c r="L1" s="2" t="n"/>
      <c r="M1" s="2" t="n"/>
      <c r="N1" s="5" t="n"/>
    </row>
    <row r="2" ht="22" customHeight="1">
      <c r="A2" s="6" t="inlineStr">
        <is>
          <t>Municipio</t>
        </is>
      </c>
      <c r="B2" s="7" t="inlineStr">
        <is>
          <t>Status</t>
        </is>
      </c>
      <c r="C2" s="7" t="inlineStr">
        <is>
          <t>Prioridade</t>
        </is>
      </c>
      <c r="D2" s="7" t="inlineStr">
        <is>
          <t>Tendencia 2022</t>
        </is>
      </c>
      <c r="E2" s="8" t="inlineStr">
        <is>
          <t>Data da Visita</t>
        </is>
      </c>
      <c r="F2" s="9" t="inlineStr">
        <is>
          <t>Nome da Lideranca</t>
        </is>
      </c>
      <c r="G2" s="7" t="inlineStr">
        <is>
          <t>Cargo / Funcao</t>
        </is>
      </c>
      <c r="H2" s="7" t="inlineStr">
        <is>
          <t>Telefone</t>
        </is>
      </c>
      <c r="I2" s="8" t="inlineStr">
        <is>
          <t>WhatsApp</t>
        </is>
      </c>
      <c r="J2" s="9" t="inlineStr">
        <is>
          <t>Partido</t>
        </is>
      </c>
      <c r="K2" s="7" t="inlineStr">
        <is>
          <t>Eleitorado</t>
        </is>
      </c>
      <c r="L2" s="7" t="inlineStr">
        <is>
          <t>% Bolsonaro</t>
        </is>
      </c>
      <c r="M2" s="7" t="inlineStr">
        <is>
          <t>% Lula</t>
        </is>
      </c>
      <c r="N2" s="10" t="inlineStr">
        <is>
          <t>Observacoes</t>
        </is>
      </c>
    </row>
    <row r="3" ht="22" customHeight="1">
      <c r="A3" s="11" t="inlineStr">
        <is>
          <t>AGUIARNÓPOLIS</t>
        </is>
      </c>
      <c r="B3" s="12" t="inlineStr">
        <is>
          <t>Prioritario</t>
        </is>
      </c>
      <c r="C3" s="13" t="inlineStr">
        <is>
          <t>Alta</t>
        </is>
      </c>
      <c r="D3" s="14" t="inlineStr">
        <is>
          <t>Progressista</t>
        </is>
      </c>
      <c r="E3" s="15" t="n"/>
      <c r="F3" s="16" t="n"/>
      <c r="G3" s="17" t="n"/>
      <c r="H3" s="17" t="n"/>
      <c r="I3" s="18" t="n"/>
      <c r="J3" s="16" t="n"/>
      <c r="K3" s="19" t="n">
        <v>3749</v>
      </c>
      <c r="L3" s="20" t="n">
        <v>0.358</v>
      </c>
      <c r="M3" s="20" t="n">
        <v>0.642</v>
      </c>
      <c r="N3" s="21" t="n"/>
    </row>
    <row r="4" ht="22" customHeight="1">
      <c r="A4" s="11" t="inlineStr">
        <is>
          <t>ALIANÇA DO TOCANTINS</t>
        </is>
      </c>
      <c r="B4" s="12" t="inlineStr">
        <is>
          <t>Prioritario</t>
        </is>
      </c>
      <c r="C4" s="13" t="inlineStr">
        <is>
          <t>Alta</t>
        </is>
      </c>
      <c r="D4" s="22" t="inlineStr">
        <is>
          <t>Dividido</t>
        </is>
      </c>
      <c r="E4" s="23" t="n"/>
      <c r="F4" s="24" t="n"/>
      <c r="G4" s="25" t="n"/>
      <c r="H4" s="25" t="n"/>
      <c r="I4" s="26" t="n"/>
      <c r="J4" s="24" t="n"/>
      <c r="K4" s="19" t="n">
        <v>4202</v>
      </c>
      <c r="L4" s="20" t="n">
        <v>0.462</v>
      </c>
      <c r="M4" s="20" t="n">
        <v>0.5379999999999999</v>
      </c>
      <c r="N4" s="27" t="n"/>
    </row>
    <row r="5" ht="22" customHeight="1">
      <c r="A5" s="11" t="inlineStr">
        <is>
          <t>ALMAS</t>
        </is>
      </c>
      <c r="B5" s="12" t="inlineStr">
        <is>
          <t>Prioritario</t>
        </is>
      </c>
      <c r="C5" s="13" t="inlineStr">
        <is>
          <t>Alta</t>
        </is>
      </c>
      <c r="D5" s="14" t="inlineStr">
        <is>
          <t>Progressista</t>
        </is>
      </c>
      <c r="E5" s="15" t="n"/>
      <c r="F5" s="16" t="n"/>
      <c r="G5" s="17" t="n"/>
      <c r="H5" s="17" t="n"/>
      <c r="I5" s="18" t="n"/>
      <c r="J5" s="16" t="n"/>
      <c r="K5" s="19" t="n">
        <v>5090</v>
      </c>
      <c r="L5" s="20" t="n">
        <v>0.33</v>
      </c>
      <c r="M5" s="20" t="n">
        <v>0.67</v>
      </c>
      <c r="N5" s="21" t="n"/>
    </row>
    <row r="6" ht="22" customHeight="1">
      <c r="A6" s="11" t="inlineStr">
        <is>
          <t>ALVORADA</t>
        </is>
      </c>
      <c r="B6" s="12" t="inlineStr">
        <is>
          <t>Prioritario</t>
        </is>
      </c>
      <c r="C6" s="13" t="inlineStr">
        <is>
          <t>Alta</t>
        </is>
      </c>
      <c r="D6" s="22" t="inlineStr">
        <is>
          <t>Dividido</t>
        </is>
      </c>
      <c r="E6" s="23" t="n"/>
      <c r="F6" s="24" t="n"/>
      <c r="G6" s="25" t="n"/>
      <c r="H6" s="25" t="n"/>
      <c r="I6" s="26" t="n"/>
      <c r="J6" s="24" t="n"/>
      <c r="K6" s="19" t="n">
        <v>7263</v>
      </c>
      <c r="L6" s="20" t="n">
        <v>0.5489999999999999</v>
      </c>
      <c r="M6" s="20" t="n">
        <v>0.451</v>
      </c>
      <c r="N6" s="27" t="n"/>
    </row>
    <row r="7" ht="22" customHeight="1">
      <c r="A7" s="11" t="inlineStr">
        <is>
          <t>ANANÁS</t>
        </is>
      </c>
      <c r="B7" s="12" t="inlineStr">
        <is>
          <t>Prioritario</t>
        </is>
      </c>
      <c r="C7" s="13" t="inlineStr">
        <is>
          <t>Alta</t>
        </is>
      </c>
      <c r="D7" s="14" t="inlineStr">
        <is>
          <t>Progressista</t>
        </is>
      </c>
      <c r="E7" s="15" t="n"/>
      <c r="F7" s="16" t="n"/>
      <c r="G7" s="17" t="n"/>
      <c r="H7" s="17" t="n"/>
      <c r="I7" s="18" t="n"/>
      <c r="J7" s="16" t="n"/>
      <c r="K7" s="19" t="n">
        <v>7164</v>
      </c>
      <c r="L7" s="20" t="n">
        <v>0.4</v>
      </c>
      <c r="M7" s="20" t="n">
        <v>0.6</v>
      </c>
      <c r="N7" s="21" t="n"/>
    </row>
    <row r="8" ht="22" customHeight="1">
      <c r="A8" s="11" t="inlineStr">
        <is>
          <t>ANGICO</t>
        </is>
      </c>
      <c r="B8" s="12" t="inlineStr">
        <is>
          <t>Prioritario</t>
        </is>
      </c>
      <c r="C8" s="13" t="inlineStr">
        <is>
          <t>Alta</t>
        </is>
      </c>
      <c r="D8" s="22" t="inlineStr">
        <is>
          <t>Dividido</t>
        </is>
      </c>
      <c r="E8" s="23" t="n"/>
      <c r="F8" s="24" t="n"/>
      <c r="G8" s="25" t="n"/>
      <c r="H8" s="25" t="n"/>
      <c r="I8" s="26" t="n"/>
      <c r="J8" s="24" t="n"/>
      <c r="K8" s="19" t="n">
        <v>2681</v>
      </c>
      <c r="L8" s="20" t="n">
        <v>0.411</v>
      </c>
      <c r="M8" s="20" t="n">
        <v>0.589</v>
      </c>
      <c r="N8" s="27" t="n"/>
    </row>
    <row r="9" ht="22" customHeight="1">
      <c r="A9" s="11" t="inlineStr">
        <is>
          <t>APARECIDA DO RIO NEGRO</t>
        </is>
      </c>
      <c r="B9" s="12" t="inlineStr">
        <is>
          <t>Prioritario</t>
        </is>
      </c>
      <c r="C9" s="13" t="inlineStr">
        <is>
          <t>Alta</t>
        </is>
      </c>
      <c r="D9" s="22" t="inlineStr">
        <is>
          <t>Dividido</t>
        </is>
      </c>
      <c r="E9" s="15" t="n"/>
      <c r="F9" s="16" t="n"/>
      <c r="G9" s="17" t="n"/>
      <c r="H9" s="17" t="n"/>
      <c r="I9" s="18" t="n"/>
      <c r="J9" s="16" t="n"/>
      <c r="K9" s="19" t="n">
        <v>3905</v>
      </c>
      <c r="L9" s="20" t="n">
        <v>0.447</v>
      </c>
      <c r="M9" s="20" t="n">
        <v>0.5529999999999999</v>
      </c>
      <c r="N9" s="21" t="n"/>
    </row>
    <row r="10" ht="22" customHeight="1">
      <c r="A10" s="11" t="inlineStr">
        <is>
          <t>ARAGOMINAS</t>
        </is>
      </c>
      <c r="B10" s="12" t="inlineStr">
        <is>
          <t>Prioritario</t>
        </is>
      </c>
      <c r="C10" s="13" t="inlineStr">
        <is>
          <t>Alta</t>
        </is>
      </c>
      <c r="D10" s="14" t="inlineStr">
        <is>
          <t>Progressista</t>
        </is>
      </c>
      <c r="E10" s="23" t="n"/>
      <c r="F10" s="24" t="n"/>
      <c r="G10" s="25" t="n"/>
      <c r="H10" s="25" t="n"/>
      <c r="I10" s="26" t="n"/>
      <c r="J10" s="24" t="n"/>
      <c r="K10" s="19" t="n">
        <v>4435</v>
      </c>
      <c r="L10" s="20" t="n">
        <v>0.376</v>
      </c>
      <c r="M10" s="20" t="n">
        <v>0.624</v>
      </c>
      <c r="N10" s="27" t="n"/>
    </row>
    <row r="11" ht="22" customHeight="1">
      <c r="A11" s="11" t="inlineStr">
        <is>
          <t>ARAGUANÃ</t>
        </is>
      </c>
      <c r="B11" s="12" t="inlineStr">
        <is>
          <t>Prioritario</t>
        </is>
      </c>
      <c r="C11" s="13" t="inlineStr">
        <is>
          <t>Alta</t>
        </is>
      </c>
      <c r="D11" s="22" t="inlineStr">
        <is>
          <t>Dividido</t>
        </is>
      </c>
      <c r="E11" s="15" t="n"/>
      <c r="F11" s="16" t="n"/>
      <c r="G11" s="17" t="n"/>
      <c r="H11" s="17" t="n"/>
      <c r="I11" s="18" t="n"/>
      <c r="J11" s="16" t="n"/>
      <c r="K11" s="19" t="n">
        <v>3565</v>
      </c>
      <c r="L11" s="20" t="n">
        <v>0.498</v>
      </c>
      <c r="M11" s="20" t="n">
        <v>0.502</v>
      </c>
      <c r="N11" s="21" t="n"/>
    </row>
    <row r="12" ht="22" customHeight="1">
      <c r="A12" s="11" t="inlineStr">
        <is>
          <t>ARAGUATINS</t>
        </is>
      </c>
      <c r="B12" s="12" t="inlineStr">
        <is>
          <t>Prioritario</t>
        </is>
      </c>
      <c r="C12" s="13" t="inlineStr">
        <is>
          <t>Alta</t>
        </is>
      </c>
      <c r="D12" s="22" t="inlineStr">
        <is>
          <t>Dividido</t>
        </is>
      </c>
      <c r="E12" s="23" t="n"/>
      <c r="F12" s="24" t="n"/>
      <c r="G12" s="25" t="n"/>
      <c r="H12" s="25" t="n"/>
      <c r="I12" s="26" t="n"/>
      <c r="J12" s="24" t="n"/>
      <c r="K12" s="19" t="n">
        <v>21325</v>
      </c>
      <c r="L12" s="20" t="n">
        <v>0.409</v>
      </c>
      <c r="M12" s="20" t="n">
        <v>0.591</v>
      </c>
      <c r="N12" s="27" t="n"/>
    </row>
    <row r="13" ht="22" customHeight="1">
      <c r="A13" s="11" t="inlineStr">
        <is>
          <t>ARAGUAÇU</t>
        </is>
      </c>
      <c r="B13" s="12" t="inlineStr">
        <is>
          <t>Prioritario</t>
        </is>
      </c>
      <c r="C13" s="13" t="inlineStr">
        <is>
          <t>Alta</t>
        </is>
      </c>
      <c r="D13" s="28" t="inlineStr">
        <is>
          <t>Conservador</t>
        </is>
      </c>
      <c r="E13" s="15" t="n"/>
      <c r="F13" s="16" t="n"/>
      <c r="G13" s="17" t="n"/>
      <c r="H13" s="17" t="n"/>
      <c r="I13" s="18" t="n"/>
      <c r="J13" s="16" t="n"/>
      <c r="K13" s="19" t="n">
        <v>6316</v>
      </c>
      <c r="L13" s="20" t="n">
        <v>0.7040000000000001</v>
      </c>
      <c r="M13" s="20" t="n">
        <v>0.296</v>
      </c>
      <c r="N13" s="21" t="n"/>
    </row>
    <row r="14" ht="22" customHeight="1">
      <c r="A14" s="11" t="inlineStr">
        <is>
          <t>ARAGUAÍNA</t>
        </is>
      </c>
      <c r="B14" s="12" t="inlineStr">
        <is>
          <t>Prioritario</t>
        </is>
      </c>
      <c r="C14" s="13" t="inlineStr">
        <is>
          <t>Alta</t>
        </is>
      </c>
      <c r="D14" s="22" t="inlineStr">
        <is>
          <t>Dividido</t>
        </is>
      </c>
      <c r="E14" s="23" t="n"/>
      <c r="F14" s="24" t="n"/>
      <c r="G14" s="25" t="n"/>
      <c r="H14" s="25" t="n"/>
      <c r="I14" s="26" t="n"/>
      <c r="J14" s="24" t="n"/>
      <c r="K14" s="19" t="n">
        <v>112767</v>
      </c>
      <c r="L14" s="20" t="n">
        <v>0.5820000000000001</v>
      </c>
      <c r="M14" s="20" t="n">
        <v>0.418</v>
      </c>
      <c r="N14" s="27" t="n"/>
    </row>
    <row r="15" ht="22" customHeight="1">
      <c r="A15" s="11" t="inlineStr">
        <is>
          <t>ARAPOEMA</t>
        </is>
      </c>
      <c r="B15" s="12" t="inlineStr">
        <is>
          <t>Prioritario</t>
        </is>
      </c>
      <c r="C15" s="13" t="inlineStr">
        <is>
          <t>Alta</t>
        </is>
      </c>
      <c r="D15" s="22" t="inlineStr">
        <is>
          <t>Dividido</t>
        </is>
      </c>
      <c r="E15" s="15" t="n"/>
      <c r="F15" s="16" t="n"/>
      <c r="G15" s="17" t="n"/>
      <c r="H15" s="17" t="n"/>
      <c r="I15" s="18" t="n"/>
      <c r="J15" s="16" t="n"/>
      <c r="K15" s="19" t="n">
        <v>4686</v>
      </c>
      <c r="L15" s="20" t="n">
        <v>0.435</v>
      </c>
      <c r="M15" s="20" t="n">
        <v>0.5649999999999999</v>
      </c>
      <c r="N15" s="21" t="n"/>
    </row>
    <row r="16" ht="22" customHeight="1">
      <c r="A16" s="11" t="inlineStr">
        <is>
          <t>AUGUSTINÓPOLIS</t>
        </is>
      </c>
      <c r="B16" s="12" t="inlineStr">
        <is>
          <t>Prioritario</t>
        </is>
      </c>
      <c r="C16" s="13" t="inlineStr">
        <is>
          <t>Alta</t>
        </is>
      </c>
      <c r="D16" s="22" t="inlineStr">
        <is>
          <t>Dividido</t>
        </is>
      </c>
      <c r="E16" s="23" t="n"/>
      <c r="F16" s="24" t="n"/>
      <c r="G16" s="25" t="n"/>
      <c r="H16" s="25" t="n"/>
      <c r="I16" s="26" t="n"/>
      <c r="J16" s="24" t="n"/>
      <c r="K16" s="19" t="n">
        <v>12479</v>
      </c>
      <c r="L16" s="20" t="n">
        <v>0.401</v>
      </c>
      <c r="M16" s="20" t="n">
        <v>0.599</v>
      </c>
      <c r="N16" s="27" t="n"/>
    </row>
    <row r="17" ht="22" customHeight="1">
      <c r="A17" s="11" t="inlineStr">
        <is>
          <t>AURORA DO TOCANTINS</t>
        </is>
      </c>
      <c r="B17" s="12" t="inlineStr">
        <is>
          <t>Prioritario</t>
        </is>
      </c>
      <c r="C17" s="13" t="inlineStr">
        <is>
          <t>Alta</t>
        </is>
      </c>
      <c r="D17" s="14" t="inlineStr">
        <is>
          <t>Progressista</t>
        </is>
      </c>
      <c r="E17" s="15" t="n"/>
      <c r="F17" s="16" t="n"/>
      <c r="G17" s="17" t="n"/>
      <c r="H17" s="17" t="n"/>
      <c r="I17" s="18" t="n"/>
      <c r="J17" s="16" t="n"/>
      <c r="K17" s="19" t="n">
        <v>3035</v>
      </c>
      <c r="L17" s="20" t="n">
        <v>0.349</v>
      </c>
      <c r="M17" s="20" t="n">
        <v>0.6509999999999999</v>
      </c>
      <c r="N17" s="21" t="n"/>
    </row>
    <row r="18" ht="22" customHeight="1">
      <c r="A18" s="11" t="inlineStr">
        <is>
          <t>AXIXÁ DO TOCANTINS</t>
        </is>
      </c>
      <c r="B18" s="12" t="inlineStr">
        <is>
          <t>Prioritario</t>
        </is>
      </c>
      <c r="C18" s="13" t="inlineStr">
        <is>
          <t>Alta</t>
        </is>
      </c>
      <c r="D18" s="22" t="inlineStr">
        <is>
          <t>Dividido</t>
        </is>
      </c>
      <c r="E18" s="23" t="n"/>
      <c r="F18" s="24" t="n"/>
      <c r="G18" s="25" t="n"/>
      <c r="H18" s="25" t="n"/>
      <c r="I18" s="26" t="n"/>
      <c r="J18" s="24" t="n"/>
      <c r="K18" s="19" t="n">
        <v>8754</v>
      </c>
      <c r="L18" s="20" t="n">
        <v>0.402</v>
      </c>
      <c r="M18" s="20" t="n">
        <v>0.598</v>
      </c>
      <c r="N18" s="27" t="n"/>
    </row>
    <row r="19" ht="22" customHeight="1">
      <c r="A19" s="11" t="inlineStr">
        <is>
          <t>BABAÇULÂNDIA</t>
        </is>
      </c>
      <c r="B19" s="12" t="inlineStr">
        <is>
          <t>Prioritario</t>
        </is>
      </c>
      <c r="C19" s="13" t="inlineStr">
        <is>
          <t>Alta</t>
        </is>
      </c>
      <c r="D19" s="14" t="inlineStr">
        <is>
          <t>Progressista</t>
        </is>
      </c>
      <c r="E19" s="15" t="n"/>
      <c r="F19" s="16" t="n"/>
      <c r="G19" s="17" t="n"/>
      <c r="H19" s="17" t="n"/>
      <c r="I19" s="18" t="n"/>
      <c r="J19" s="16" t="n"/>
      <c r="K19" s="19" t="n">
        <v>6313</v>
      </c>
      <c r="L19" s="20" t="n">
        <v>0.32</v>
      </c>
      <c r="M19" s="20" t="n">
        <v>0.68</v>
      </c>
      <c r="N19" s="21" t="n"/>
    </row>
    <row r="20" ht="22" customHeight="1">
      <c r="A20" s="11" t="inlineStr">
        <is>
          <t>BANDEIRANTES DO TOCANTINS</t>
        </is>
      </c>
      <c r="B20" s="12" t="inlineStr">
        <is>
          <t>Prioritario</t>
        </is>
      </c>
      <c r="C20" s="13" t="inlineStr">
        <is>
          <t>Alta</t>
        </is>
      </c>
      <c r="D20" s="22" t="inlineStr">
        <is>
          <t>Dividido</t>
        </is>
      </c>
      <c r="E20" s="23" t="n"/>
      <c r="F20" s="24" t="n"/>
      <c r="G20" s="25" t="n"/>
      <c r="H20" s="25" t="n"/>
      <c r="I20" s="26" t="n"/>
      <c r="J20" s="24" t="n"/>
      <c r="K20" s="19" t="n">
        <v>2636</v>
      </c>
      <c r="L20" s="20" t="n">
        <v>0.528</v>
      </c>
      <c r="M20" s="20" t="n">
        <v>0.472</v>
      </c>
      <c r="N20" s="27" t="n"/>
    </row>
    <row r="21" ht="22" customHeight="1">
      <c r="A21" s="11" t="inlineStr">
        <is>
          <t>BARRA DO OURO</t>
        </is>
      </c>
      <c r="B21" s="12" t="inlineStr">
        <is>
          <t>Prioritario</t>
        </is>
      </c>
      <c r="C21" s="13" t="inlineStr">
        <is>
          <t>Alta</t>
        </is>
      </c>
      <c r="D21" s="14" t="inlineStr">
        <is>
          <t>Progressista</t>
        </is>
      </c>
      <c r="E21" s="15" t="n"/>
      <c r="F21" s="16" t="n"/>
      <c r="G21" s="17" t="n"/>
      <c r="H21" s="17" t="n"/>
      <c r="I21" s="18" t="n"/>
      <c r="J21" s="16" t="n"/>
      <c r="K21" s="19" t="n">
        <v>3599</v>
      </c>
      <c r="L21" s="20" t="n">
        <v>0.357</v>
      </c>
      <c r="M21" s="20" t="n">
        <v>0.643</v>
      </c>
      <c r="N21" s="21" t="n"/>
    </row>
    <row r="22" ht="22" customHeight="1">
      <c r="A22" s="11" t="inlineStr">
        <is>
          <t>BARROLÂNDIA</t>
        </is>
      </c>
      <c r="B22" s="12" t="inlineStr">
        <is>
          <t>Prioritario</t>
        </is>
      </c>
      <c r="C22" s="13" t="inlineStr">
        <is>
          <t>Alta</t>
        </is>
      </c>
      <c r="D22" s="22" t="inlineStr">
        <is>
          <t>Dividido</t>
        </is>
      </c>
      <c r="E22" s="23" t="n"/>
      <c r="F22" s="24" t="n"/>
      <c r="G22" s="25" t="n"/>
      <c r="H22" s="25" t="n"/>
      <c r="I22" s="26" t="n"/>
      <c r="J22" s="24" t="n"/>
      <c r="K22" s="19" t="n">
        <v>4461</v>
      </c>
      <c r="L22" s="20" t="n">
        <v>0.487</v>
      </c>
      <c r="M22" s="20" t="n">
        <v>0.513</v>
      </c>
      <c r="N22" s="27" t="n"/>
    </row>
    <row r="23" ht="22" customHeight="1">
      <c r="A23" s="11" t="inlineStr">
        <is>
          <t>BERNARDO SAYÃO</t>
        </is>
      </c>
      <c r="B23" s="12" t="inlineStr">
        <is>
          <t>Prioritario</t>
        </is>
      </c>
      <c r="C23" s="13" t="inlineStr">
        <is>
          <t>Alta</t>
        </is>
      </c>
      <c r="D23" s="22" t="inlineStr">
        <is>
          <t>Dividido</t>
        </is>
      </c>
      <c r="E23" s="15" t="n"/>
      <c r="F23" s="16" t="n"/>
      <c r="G23" s="17" t="n"/>
      <c r="H23" s="17" t="n"/>
      <c r="I23" s="18" t="n"/>
      <c r="J23" s="16" t="n"/>
      <c r="K23" s="19" t="n">
        <v>3388</v>
      </c>
      <c r="L23" s="20" t="n">
        <v>0.5329999999999999</v>
      </c>
      <c r="M23" s="20" t="n">
        <v>0.467</v>
      </c>
      <c r="N23" s="21" t="n"/>
    </row>
    <row r="24" ht="22" customHeight="1">
      <c r="A24" s="11" t="inlineStr">
        <is>
          <t>BOM JESUS DO TOCANTINS</t>
        </is>
      </c>
      <c r="B24" s="12" t="inlineStr">
        <is>
          <t>Prioritario</t>
        </is>
      </c>
      <c r="C24" s="13" t="inlineStr">
        <is>
          <t>Alta</t>
        </is>
      </c>
      <c r="D24" s="22" t="inlineStr">
        <is>
          <t>Dividido</t>
        </is>
      </c>
      <c r="E24" s="23" t="n"/>
      <c r="F24" s="24" t="n"/>
      <c r="G24" s="25" t="n"/>
      <c r="H24" s="25" t="n"/>
      <c r="I24" s="26" t="n"/>
      <c r="J24" s="24" t="n"/>
      <c r="K24" s="19" t="n">
        <v>3208</v>
      </c>
      <c r="L24" s="20" t="n">
        <v>0.449</v>
      </c>
      <c r="M24" s="20" t="n">
        <v>0.551</v>
      </c>
      <c r="N24" s="27" t="n"/>
    </row>
    <row r="25" ht="22" customHeight="1">
      <c r="A25" s="11" t="inlineStr">
        <is>
          <t>BRASILÂNDIA DO TOCANTINS</t>
        </is>
      </c>
      <c r="B25" s="12" t="inlineStr">
        <is>
          <t>Prioritario</t>
        </is>
      </c>
      <c r="C25" s="13" t="inlineStr">
        <is>
          <t>Alta</t>
        </is>
      </c>
      <c r="D25" s="22" t="inlineStr">
        <is>
          <t>Dividido</t>
        </is>
      </c>
      <c r="E25" s="15" t="n"/>
      <c r="F25" s="16" t="n"/>
      <c r="G25" s="17" t="n"/>
      <c r="H25" s="17" t="n"/>
      <c r="I25" s="18" t="n"/>
      <c r="J25" s="16" t="n"/>
      <c r="K25" s="19" t="n">
        <v>1804</v>
      </c>
      <c r="L25" s="20" t="n">
        <v>0.4320000000000001</v>
      </c>
      <c r="M25" s="20" t="n">
        <v>0.5679999999999999</v>
      </c>
      <c r="N25" s="21" t="n"/>
    </row>
    <row r="26" ht="22" customHeight="1">
      <c r="A26" s="11" t="inlineStr">
        <is>
          <t>BREJINHO DE NAZARÉ</t>
        </is>
      </c>
      <c r="B26" s="12" t="inlineStr">
        <is>
          <t>Prioritario</t>
        </is>
      </c>
      <c r="C26" s="13" t="inlineStr">
        <is>
          <t>Alta</t>
        </is>
      </c>
      <c r="D26" s="22" t="inlineStr">
        <is>
          <t>Dividido</t>
        </is>
      </c>
      <c r="E26" s="23" t="n"/>
      <c r="F26" s="24" t="n"/>
      <c r="G26" s="25" t="n"/>
      <c r="H26" s="25" t="n"/>
      <c r="I26" s="26" t="n"/>
      <c r="J26" s="24" t="n"/>
      <c r="K26" s="19" t="n">
        <v>3864</v>
      </c>
      <c r="L26" s="20" t="n">
        <v>0.442</v>
      </c>
      <c r="M26" s="20" t="n">
        <v>0.5579999999999999</v>
      </c>
      <c r="N26" s="27" t="n"/>
    </row>
    <row r="27" ht="22" customHeight="1">
      <c r="A27" s="11" t="inlineStr">
        <is>
          <t>BURITI DO TOCANTINS</t>
        </is>
      </c>
      <c r="B27" s="12" t="inlineStr">
        <is>
          <t>Prioritario</t>
        </is>
      </c>
      <c r="C27" s="13" t="inlineStr">
        <is>
          <t>Alta</t>
        </is>
      </c>
      <c r="D27" s="14" t="inlineStr">
        <is>
          <t>Progressista</t>
        </is>
      </c>
      <c r="E27" s="15" t="n"/>
      <c r="F27" s="16" t="n"/>
      <c r="G27" s="17" t="n"/>
      <c r="H27" s="17" t="n"/>
      <c r="I27" s="18" t="n"/>
      <c r="J27" s="16" t="n"/>
      <c r="K27" s="19" t="n">
        <v>6333</v>
      </c>
      <c r="L27" s="20" t="n">
        <v>0.398</v>
      </c>
      <c r="M27" s="20" t="n">
        <v>0.602</v>
      </c>
      <c r="N27" s="21" t="n"/>
    </row>
    <row r="28" ht="22" customHeight="1">
      <c r="A28" s="11" t="inlineStr">
        <is>
          <t>CACHOEIRINHA</t>
        </is>
      </c>
      <c r="B28" s="12" t="inlineStr">
        <is>
          <t>Prioritario</t>
        </is>
      </c>
      <c r="C28" s="13" t="inlineStr">
        <is>
          <t>Alta</t>
        </is>
      </c>
      <c r="D28" s="14" t="inlineStr">
        <is>
          <t>Progressista</t>
        </is>
      </c>
      <c r="E28" s="23" t="n"/>
      <c r="F28" s="24" t="n"/>
      <c r="G28" s="25" t="n"/>
      <c r="H28" s="25" t="n"/>
      <c r="I28" s="26" t="n"/>
      <c r="J28" s="24" t="n"/>
      <c r="K28" s="19" t="n">
        <v>1853</v>
      </c>
      <c r="L28" s="20" t="n">
        <v>0.351</v>
      </c>
      <c r="M28" s="20" t="n">
        <v>0.649</v>
      </c>
      <c r="N28" s="27" t="n"/>
    </row>
    <row r="29" ht="22" customHeight="1">
      <c r="A29" s="11" t="inlineStr">
        <is>
          <t>CAMPOS LINDOS</t>
        </is>
      </c>
      <c r="B29" s="12" t="inlineStr">
        <is>
          <t>Prioritario</t>
        </is>
      </c>
      <c r="C29" s="13" t="inlineStr">
        <is>
          <t>Alta</t>
        </is>
      </c>
      <c r="D29" s="14" t="inlineStr">
        <is>
          <t>Progressista</t>
        </is>
      </c>
      <c r="E29" s="15" t="n"/>
      <c r="F29" s="16" t="n"/>
      <c r="G29" s="17" t="n"/>
      <c r="H29" s="17" t="n"/>
      <c r="I29" s="18" t="n"/>
      <c r="J29" s="16" t="n"/>
      <c r="K29" s="19" t="n">
        <v>6082</v>
      </c>
      <c r="L29" s="20" t="n">
        <v>0.367</v>
      </c>
      <c r="M29" s="20" t="n">
        <v>0.633</v>
      </c>
      <c r="N29" s="21" t="n"/>
    </row>
    <row r="30" ht="22" customHeight="1">
      <c r="A30" s="11" t="inlineStr">
        <is>
          <t>CARIRI DO TOCANTINS</t>
        </is>
      </c>
      <c r="B30" s="12" t="inlineStr">
        <is>
          <t>Prioritario</t>
        </is>
      </c>
      <c r="C30" s="13" t="inlineStr">
        <is>
          <t>Alta</t>
        </is>
      </c>
      <c r="D30" s="22" t="inlineStr">
        <is>
          <t>Dividido</t>
        </is>
      </c>
      <c r="E30" s="23" t="n"/>
      <c r="F30" s="24" t="n"/>
      <c r="G30" s="25" t="n"/>
      <c r="H30" s="25" t="n"/>
      <c r="I30" s="26" t="n"/>
      <c r="J30" s="24" t="n"/>
      <c r="K30" s="19" t="n">
        <v>3499</v>
      </c>
      <c r="L30" s="20" t="n">
        <v>0.496</v>
      </c>
      <c r="M30" s="20" t="n">
        <v>0.504</v>
      </c>
      <c r="N30" s="27" t="n"/>
    </row>
    <row r="31" ht="22" customHeight="1">
      <c r="A31" s="11" t="inlineStr">
        <is>
          <t>CARMOLÂNDIA</t>
        </is>
      </c>
      <c r="B31" s="12" t="inlineStr">
        <is>
          <t>Prioritario</t>
        </is>
      </c>
      <c r="C31" s="13" t="inlineStr">
        <is>
          <t>Alta</t>
        </is>
      </c>
      <c r="D31" s="14" t="inlineStr">
        <is>
          <t>Progressista</t>
        </is>
      </c>
      <c r="E31" s="15" t="n"/>
      <c r="F31" s="16" t="n"/>
      <c r="G31" s="17" t="n"/>
      <c r="H31" s="17" t="n"/>
      <c r="I31" s="18" t="n"/>
      <c r="J31" s="16" t="n"/>
      <c r="K31" s="19" t="n">
        <v>2331</v>
      </c>
      <c r="L31" s="20" t="n">
        <v>0.387</v>
      </c>
      <c r="M31" s="20" t="n">
        <v>0.613</v>
      </c>
      <c r="N31" s="21" t="n"/>
    </row>
    <row r="32" ht="22" customHeight="1">
      <c r="A32" s="11" t="inlineStr">
        <is>
          <t>CARRASCO BONITO</t>
        </is>
      </c>
      <c r="B32" s="12" t="inlineStr">
        <is>
          <t>Prioritario</t>
        </is>
      </c>
      <c r="C32" s="13" t="inlineStr">
        <is>
          <t>Alta</t>
        </is>
      </c>
      <c r="D32" s="14" t="inlineStr">
        <is>
          <t>Progressista</t>
        </is>
      </c>
      <c r="E32" s="23" t="n"/>
      <c r="F32" s="24" t="n"/>
      <c r="G32" s="25" t="n"/>
      <c r="H32" s="25" t="n"/>
      <c r="I32" s="26" t="n"/>
      <c r="J32" s="24" t="n"/>
      <c r="K32" s="19" t="n">
        <v>3062</v>
      </c>
      <c r="L32" s="20" t="n">
        <v>0.326</v>
      </c>
      <c r="M32" s="20" t="n">
        <v>0.674</v>
      </c>
      <c r="N32" s="27" t="n"/>
    </row>
    <row r="33" ht="22" customHeight="1">
      <c r="A33" s="11" t="inlineStr">
        <is>
          <t>CASEARA</t>
        </is>
      </c>
      <c r="B33" s="12" t="inlineStr">
        <is>
          <t>Prioritario</t>
        </is>
      </c>
      <c r="C33" s="13" t="inlineStr">
        <is>
          <t>Alta</t>
        </is>
      </c>
      <c r="D33" s="14" t="inlineStr">
        <is>
          <t>Progressista</t>
        </is>
      </c>
      <c r="E33" s="15" t="n"/>
      <c r="F33" s="16" t="n"/>
      <c r="G33" s="17" t="n"/>
      <c r="H33" s="17" t="n"/>
      <c r="I33" s="18" t="n"/>
      <c r="J33" s="16" t="n"/>
      <c r="K33" s="19" t="n">
        <v>3755</v>
      </c>
      <c r="L33" s="20" t="n">
        <v>0.394</v>
      </c>
      <c r="M33" s="20" t="n">
        <v>0.606</v>
      </c>
      <c r="N33" s="21" t="n"/>
    </row>
    <row r="34" ht="22" customHeight="1">
      <c r="A34" s="11" t="inlineStr">
        <is>
          <t>CENTENÁRIO</t>
        </is>
      </c>
      <c r="B34" s="12" t="inlineStr">
        <is>
          <t>Prioritario</t>
        </is>
      </c>
      <c r="C34" s="13" t="inlineStr">
        <is>
          <t>Alta</t>
        </is>
      </c>
      <c r="D34" s="14" t="inlineStr">
        <is>
          <t>Progressista</t>
        </is>
      </c>
      <c r="E34" s="23" t="n"/>
      <c r="F34" s="24" t="n"/>
      <c r="G34" s="25" t="n"/>
      <c r="H34" s="25" t="n"/>
      <c r="I34" s="26" t="n"/>
      <c r="J34" s="24" t="n"/>
      <c r="K34" s="19" t="n">
        <v>1813</v>
      </c>
      <c r="L34" s="20" t="n">
        <v>0.309</v>
      </c>
      <c r="M34" s="20" t="n">
        <v>0.6909999999999999</v>
      </c>
      <c r="N34" s="27" t="n"/>
    </row>
    <row r="35" ht="22" customHeight="1">
      <c r="A35" s="11" t="inlineStr">
        <is>
          <t>CHAPADA DA NATIVIDADE</t>
        </is>
      </c>
      <c r="B35" s="12" t="inlineStr">
        <is>
          <t>Prioritario</t>
        </is>
      </c>
      <c r="C35" s="13" t="inlineStr">
        <is>
          <t>Alta</t>
        </is>
      </c>
      <c r="D35" s="14" t="inlineStr">
        <is>
          <t>Progressista</t>
        </is>
      </c>
      <c r="E35" s="15" t="n"/>
      <c r="F35" s="16" t="n"/>
      <c r="G35" s="17" t="n"/>
      <c r="H35" s="17" t="n"/>
      <c r="I35" s="18" t="n"/>
      <c r="J35" s="16" t="n"/>
      <c r="K35" s="19" t="n">
        <v>2766</v>
      </c>
      <c r="L35" s="20" t="n">
        <v>0.237</v>
      </c>
      <c r="M35" s="20" t="n">
        <v>0.763</v>
      </c>
      <c r="N35" s="21" t="n"/>
    </row>
    <row r="36" ht="22" customHeight="1">
      <c r="A36" s="11" t="inlineStr">
        <is>
          <t>CHAPADA DE AREIA</t>
        </is>
      </c>
      <c r="B36" s="12" t="inlineStr">
        <is>
          <t>Prioritario</t>
        </is>
      </c>
      <c r="C36" s="13" t="inlineStr">
        <is>
          <t>Alta</t>
        </is>
      </c>
      <c r="D36" s="22" t="inlineStr">
        <is>
          <t>Dividido</t>
        </is>
      </c>
      <c r="E36" s="23" t="n"/>
      <c r="F36" s="24" t="n"/>
      <c r="G36" s="25" t="n"/>
      <c r="H36" s="25" t="n"/>
      <c r="I36" s="26" t="n"/>
      <c r="J36" s="24" t="n"/>
      <c r="K36" s="19" t="n">
        <v>2195</v>
      </c>
      <c r="L36" s="20" t="n">
        <v>0.511</v>
      </c>
      <c r="M36" s="20" t="n">
        <v>0.489</v>
      </c>
      <c r="N36" s="27" t="n"/>
    </row>
    <row r="37" ht="22" customHeight="1">
      <c r="A37" s="11" t="inlineStr">
        <is>
          <t>COLINAS DO TOCANTINS</t>
        </is>
      </c>
      <c r="B37" s="12" t="inlineStr">
        <is>
          <t>Prioritario</t>
        </is>
      </c>
      <c r="C37" s="13" t="inlineStr">
        <is>
          <t>Alta</t>
        </is>
      </c>
      <c r="D37" s="22" t="inlineStr">
        <is>
          <t>Dividido</t>
        </is>
      </c>
      <c r="E37" s="15" t="n"/>
      <c r="F37" s="16" t="n"/>
      <c r="G37" s="17" t="n"/>
      <c r="H37" s="17" t="n"/>
      <c r="I37" s="18" t="n"/>
      <c r="J37" s="16" t="n"/>
      <c r="K37" s="19" t="n">
        <v>23052</v>
      </c>
      <c r="L37" s="20" t="n">
        <v>0.58</v>
      </c>
      <c r="M37" s="20" t="n">
        <v>0.42</v>
      </c>
      <c r="N37" s="21" t="n"/>
    </row>
    <row r="38" ht="22" customHeight="1">
      <c r="A38" s="11" t="inlineStr">
        <is>
          <t>COLMÉIA</t>
        </is>
      </c>
      <c r="B38" s="12" t="inlineStr">
        <is>
          <t>Prioritario</t>
        </is>
      </c>
      <c r="C38" s="13" t="inlineStr">
        <is>
          <t>Alta</t>
        </is>
      </c>
      <c r="D38" s="28" t="inlineStr">
        <is>
          <t>Conservador</t>
        </is>
      </c>
      <c r="E38" s="23" t="n"/>
      <c r="F38" s="24" t="n"/>
      <c r="G38" s="25" t="n"/>
      <c r="H38" s="25" t="n"/>
      <c r="I38" s="26" t="n"/>
      <c r="J38" s="24" t="n"/>
      <c r="K38" s="19" t="n">
        <v>6381</v>
      </c>
      <c r="L38" s="20" t="n">
        <v>0.614</v>
      </c>
      <c r="M38" s="20" t="n">
        <v>0.386</v>
      </c>
      <c r="N38" s="27" t="n"/>
    </row>
    <row r="39" ht="22" customHeight="1">
      <c r="A39" s="11" t="inlineStr">
        <is>
          <t>COMBINADO</t>
        </is>
      </c>
      <c r="B39" s="12" t="inlineStr">
        <is>
          <t>Prioritario</t>
        </is>
      </c>
      <c r="C39" s="13" t="inlineStr">
        <is>
          <t>Alta</t>
        </is>
      </c>
      <c r="D39" s="22" t="inlineStr">
        <is>
          <t>Dividido</t>
        </is>
      </c>
      <c r="E39" s="15" t="n"/>
      <c r="F39" s="16" t="n"/>
      <c r="G39" s="17" t="n"/>
      <c r="H39" s="17" t="n"/>
      <c r="I39" s="18" t="n"/>
      <c r="J39" s="16" t="n"/>
      <c r="K39" s="19" t="n">
        <v>3666</v>
      </c>
      <c r="L39" s="20" t="n">
        <v>0.484</v>
      </c>
      <c r="M39" s="20" t="n">
        <v>0.516</v>
      </c>
      <c r="N39" s="21" t="n"/>
    </row>
    <row r="40" ht="22" customHeight="1">
      <c r="A40" s="11" t="inlineStr">
        <is>
          <t>CONCEIÇÃO DO TOCANTINS</t>
        </is>
      </c>
      <c r="B40" s="12" t="inlineStr">
        <is>
          <t>Prioritario</t>
        </is>
      </c>
      <c r="C40" s="13" t="inlineStr">
        <is>
          <t>Alta</t>
        </is>
      </c>
      <c r="D40" s="14" t="inlineStr">
        <is>
          <t>Progressista</t>
        </is>
      </c>
      <c r="E40" s="23" t="n"/>
      <c r="F40" s="24" t="n"/>
      <c r="G40" s="25" t="n"/>
      <c r="H40" s="25" t="n"/>
      <c r="I40" s="26" t="n"/>
      <c r="J40" s="24" t="n"/>
      <c r="K40" s="19" t="n">
        <v>3314</v>
      </c>
      <c r="L40" s="20" t="n">
        <v>0.242</v>
      </c>
      <c r="M40" s="20" t="n">
        <v>0.758</v>
      </c>
      <c r="N40" s="27" t="n"/>
    </row>
    <row r="41" ht="22" customHeight="1">
      <c r="A41" s="11" t="inlineStr">
        <is>
          <t>COUTO MAGALHÃES</t>
        </is>
      </c>
      <c r="B41" s="12" t="inlineStr">
        <is>
          <t>Prioritario</t>
        </is>
      </c>
      <c r="C41" s="13" t="inlineStr">
        <is>
          <t>Alta</t>
        </is>
      </c>
      <c r="D41" s="14" t="inlineStr">
        <is>
          <t>Progressista</t>
        </is>
      </c>
      <c r="E41" s="15" t="n"/>
      <c r="F41" s="16" t="n"/>
      <c r="G41" s="17" t="n"/>
      <c r="H41" s="17" t="n"/>
      <c r="I41" s="18" t="n"/>
      <c r="J41" s="16" t="n"/>
      <c r="K41" s="19" t="n">
        <v>4293</v>
      </c>
      <c r="L41" s="20" t="n">
        <v>0.375</v>
      </c>
      <c r="M41" s="20" t="n">
        <v>0.625</v>
      </c>
      <c r="N41" s="21" t="n"/>
    </row>
    <row r="42" ht="22" customHeight="1">
      <c r="A42" s="11" t="inlineStr">
        <is>
          <t>CRISTALÂNDIA</t>
        </is>
      </c>
      <c r="B42" s="12" t="inlineStr">
        <is>
          <t>Prioritario</t>
        </is>
      </c>
      <c r="C42" s="13" t="inlineStr">
        <is>
          <t>Alta</t>
        </is>
      </c>
      <c r="D42" s="22" t="inlineStr">
        <is>
          <t>Dividido</t>
        </is>
      </c>
      <c r="E42" s="23" t="n"/>
      <c r="F42" s="24" t="n"/>
      <c r="G42" s="25" t="n"/>
      <c r="H42" s="25" t="n"/>
      <c r="I42" s="26" t="n"/>
      <c r="J42" s="24" t="n"/>
      <c r="K42" s="19" t="n">
        <v>5358</v>
      </c>
      <c r="L42" s="20" t="n">
        <v>0.457</v>
      </c>
      <c r="M42" s="20" t="n">
        <v>0.5429999999999999</v>
      </c>
      <c r="N42" s="27" t="n"/>
    </row>
    <row r="43" ht="22" customHeight="1">
      <c r="A43" s="11" t="inlineStr">
        <is>
          <t>CRIXÁS DO TOCANTINS</t>
        </is>
      </c>
      <c r="B43" s="12" t="inlineStr">
        <is>
          <t>Prioritario</t>
        </is>
      </c>
      <c r="C43" s="13" t="inlineStr">
        <is>
          <t>Alta</t>
        </is>
      </c>
      <c r="D43" s="22" t="inlineStr">
        <is>
          <t>Dividido</t>
        </is>
      </c>
      <c r="E43" s="15" t="n"/>
      <c r="F43" s="16" t="n"/>
      <c r="G43" s="17" t="n"/>
      <c r="H43" s="17" t="n"/>
      <c r="I43" s="18" t="n"/>
      <c r="J43" s="16" t="n"/>
      <c r="K43" s="19" t="n">
        <v>1599</v>
      </c>
      <c r="L43" s="20" t="n">
        <v>0.473</v>
      </c>
      <c r="M43" s="20" t="n">
        <v>0.527</v>
      </c>
      <c r="N43" s="21" t="n"/>
    </row>
    <row r="44" ht="22" customHeight="1">
      <c r="A44" s="11" t="inlineStr">
        <is>
          <t>DARCINÓPOLIS</t>
        </is>
      </c>
      <c r="B44" s="12" t="inlineStr">
        <is>
          <t>Prioritario</t>
        </is>
      </c>
      <c r="C44" s="13" t="inlineStr">
        <is>
          <t>Alta</t>
        </is>
      </c>
      <c r="D44" s="14" t="inlineStr">
        <is>
          <t>Progressista</t>
        </is>
      </c>
      <c r="E44" s="23" t="n"/>
      <c r="F44" s="24" t="n"/>
      <c r="G44" s="25" t="n"/>
      <c r="H44" s="25" t="n"/>
      <c r="I44" s="26" t="n"/>
      <c r="J44" s="24" t="n"/>
      <c r="K44" s="19" t="n">
        <v>4105</v>
      </c>
      <c r="L44" s="20" t="n">
        <v>0.366</v>
      </c>
      <c r="M44" s="20" t="n">
        <v>0.634</v>
      </c>
      <c r="N44" s="27" t="n"/>
    </row>
    <row r="45" ht="22" customHeight="1">
      <c r="A45" s="11" t="inlineStr">
        <is>
          <t>DIANÓPOLIS</t>
        </is>
      </c>
      <c r="B45" s="12" t="inlineStr">
        <is>
          <t>Prioritario</t>
        </is>
      </c>
      <c r="C45" s="13" t="inlineStr">
        <is>
          <t>Alta</t>
        </is>
      </c>
      <c r="D45" s="14" t="inlineStr">
        <is>
          <t>Progressista</t>
        </is>
      </c>
      <c r="E45" s="15" t="n"/>
      <c r="F45" s="16" t="n"/>
      <c r="G45" s="17" t="n"/>
      <c r="H45" s="17" t="n"/>
      <c r="I45" s="18" t="n"/>
      <c r="J45" s="16" t="n"/>
      <c r="K45" s="19" t="n">
        <v>12695</v>
      </c>
      <c r="L45" s="20" t="n">
        <v>0.358</v>
      </c>
      <c r="M45" s="20" t="n">
        <v>0.642</v>
      </c>
      <c r="N45" s="21" t="n"/>
    </row>
    <row r="46" ht="22" customHeight="1">
      <c r="A46" s="11" t="inlineStr">
        <is>
          <t>DIVINÓPOLIS DO TOCANTINS</t>
        </is>
      </c>
      <c r="B46" s="12" t="inlineStr">
        <is>
          <t>Prioritario</t>
        </is>
      </c>
      <c r="C46" s="13" t="inlineStr">
        <is>
          <t>Alta</t>
        </is>
      </c>
      <c r="D46" s="14" t="inlineStr">
        <is>
          <t>Progressista</t>
        </is>
      </c>
      <c r="E46" s="23" t="n"/>
      <c r="F46" s="24" t="n"/>
      <c r="G46" s="25" t="n"/>
      <c r="H46" s="25" t="n"/>
      <c r="I46" s="26" t="n"/>
      <c r="J46" s="24" t="n"/>
      <c r="K46" s="19" t="n">
        <v>5350</v>
      </c>
      <c r="L46" s="20" t="n">
        <v>0.393</v>
      </c>
      <c r="M46" s="20" t="n">
        <v>0.607</v>
      </c>
      <c r="N46" s="27" t="n"/>
    </row>
    <row r="47" ht="22" customHeight="1">
      <c r="A47" s="11" t="inlineStr">
        <is>
          <t>DOIS IRMÃOS DO TOCANTINS</t>
        </is>
      </c>
      <c r="B47" s="12" t="inlineStr">
        <is>
          <t>Prioritario</t>
        </is>
      </c>
      <c r="C47" s="13" t="inlineStr">
        <is>
          <t>Alta</t>
        </is>
      </c>
      <c r="D47" s="14" t="inlineStr">
        <is>
          <t>Progressista</t>
        </is>
      </c>
      <c r="E47" s="15" t="n"/>
      <c r="F47" s="16" t="n"/>
      <c r="G47" s="17" t="n"/>
      <c r="H47" s="17" t="n"/>
      <c r="I47" s="18" t="n"/>
      <c r="J47" s="16" t="n"/>
      <c r="K47" s="19" t="n">
        <v>4899</v>
      </c>
      <c r="L47" s="20" t="n">
        <v>0.344</v>
      </c>
      <c r="M47" s="20" t="n">
        <v>0.6559999999999999</v>
      </c>
      <c r="N47" s="21" t="n"/>
    </row>
    <row r="48" ht="22" customHeight="1">
      <c r="A48" s="11" t="inlineStr">
        <is>
          <t>DUERÉ</t>
        </is>
      </c>
      <c r="B48" s="12" t="inlineStr">
        <is>
          <t>Prioritario</t>
        </is>
      </c>
      <c r="C48" s="13" t="inlineStr">
        <is>
          <t>Alta</t>
        </is>
      </c>
      <c r="D48" s="14" t="inlineStr">
        <is>
          <t>Progressista</t>
        </is>
      </c>
      <c r="E48" s="23" t="n"/>
      <c r="F48" s="24" t="n"/>
      <c r="G48" s="25" t="n"/>
      <c r="H48" s="25" t="n"/>
      <c r="I48" s="26" t="n"/>
      <c r="J48" s="24" t="n"/>
      <c r="K48" s="19" t="n">
        <v>3336</v>
      </c>
      <c r="L48" s="20" t="n">
        <v>0.389</v>
      </c>
      <c r="M48" s="20" t="n">
        <v>0.611</v>
      </c>
      <c r="N48" s="27" t="n"/>
    </row>
    <row r="49" ht="22" customHeight="1">
      <c r="A49" s="11" t="inlineStr">
        <is>
          <t>ESPERANTINA</t>
        </is>
      </c>
      <c r="B49" s="12" t="inlineStr">
        <is>
          <t>Prioritario</t>
        </is>
      </c>
      <c r="C49" s="13" t="inlineStr">
        <is>
          <t>Alta</t>
        </is>
      </c>
      <c r="D49" s="14" t="inlineStr">
        <is>
          <t>Progressista</t>
        </is>
      </c>
      <c r="E49" s="15" t="n"/>
      <c r="F49" s="16" t="n"/>
      <c r="G49" s="17" t="n"/>
      <c r="H49" s="17" t="n"/>
      <c r="I49" s="18" t="n"/>
      <c r="J49" s="16" t="n"/>
      <c r="K49" s="19" t="n">
        <v>6013</v>
      </c>
      <c r="L49" s="20" t="n">
        <v>0.281</v>
      </c>
      <c r="M49" s="20" t="n">
        <v>0.7190000000000001</v>
      </c>
      <c r="N49" s="21" t="n"/>
    </row>
    <row r="50" ht="22" customHeight="1">
      <c r="A50" s="11" t="inlineStr">
        <is>
          <t>FIGUEIRÓPOLIS</t>
        </is>
      </c>
      <c r="B50" s="12" t="inlineStr">
        <is>
          <t>Prioritario</t>
        </is>
      </c>
      <c r="C50" s="13" t="inlineStr">
        <is>
          <t>Alta</t>
        </is>
      </c>
      <c r="D50" s="22" t="inlineStr">
        <is>
          <t>Dividido</t>
        </is>
      </c>
      <c r="E50" s="23" t="n"/>
      <c r="F50" s="24" t="n"/>
      <c r="G50" s="25" t="n"/>
      <c r="H50" s="25" t="n"/>
      <c r="I50" s="26" t="n"/>
      <c r="J50" s="24" t="n"/>
      <c r="K50" s="19" t="n">
        <v>4442</v>
      </c>
      <c r="L50" s="20" t="n">
        <v>0.511</v>
      </c>
      <c r="M50" s="20" t="n">
        <v>0.489</v>
      </c>
      <c r="N50" s="27" t="n"/>
    </row>
    <row r="51" ht="22" customHeight="1">
      <c r="A51" s="11" t="inlineStr">
        <is>
          <t>FILADÉLFIA</t>
        </is>
      </c>
      <c r="B51" s="12" t="inlineStr">
        <is>
          <t>Prioritario</t>
        </is>
      </c>
      <c r="C51" s="13" t="inlineStr">
        <is>
          <t>Alta</t>
        </is>
      </c>
      <c r="D51" s="14" t="inlineStr">
        <is>
          <t>Progressista</t>
        </is>
      </c>
      <c r="E51" s="15" t="n"/>
      <c r="F51" s="16" t="n"/>
      <c r="G51" s="17" t="n"/>
      <c r="H51" s="17" t="n"/>
      <c r="I51" s="18" t="n"/>
      <c r="J51" s="16" t="n"/>
      <c r="K51" s="19" t="n">
        <v>6159</v>
      </c>
      <c r="L51" s="20" t="n">
        <v>0.373</v>
      </c>
      <c r="M51" s="20" t="n">
        <v>0.627</v>
      </c>
      <c r="N51" s="21" t="n"/>
    </row>
    <row r="52" ht="22" customHeight="1">
      <c r="A52" s="11" t="inlineStr">
        <is>
          <t>FORMOSO DO ARAGUAIA</t>
        </is>
      </c>
      <c r="B52" s="12" t="inlineStr">
        <is>
          <t>Prioritario</t>
        </is>
      </c>
      <c r="C52" s="13" t="inlineStr">
        <is>
          <t>Alta</t>
        </is>
      </c>
      <c r="D52" s="22" t="inlineStr">
        <is>
          <t>Dividido</t>
        </is>
      </c>
      <c r="E52" s="23" t="n"/>
      <c r="F52" s="24" t="n"/>
      <c r="G52" s="25" t="n"/>
      <c r="H52" s="25" t="n"/>
      <c r="I52" s="26" t="n"/>
      <c r="J52" s="24" t="n"/>
      <c r="K52" s="19" t="n">
        <v>13683</v>
      </c>
      <c r="L52" s="20" t="n">
        <v>0.55</v>
      </c>
      <c r="M52" s="20" t="n">
        <v>0.45</v>
      </c>
      <c r="N52" s="27" t="n"/>
    </row>
    <row r="53" ht="22" customHeight="1">
      <c r="A53" s="11" t="inlineStr">
        <is>
          <t>FÁTIMA</t>
        </is>
      </c>
      <c r="B53" s="12" t="inlineStr">
        <is>
          <t>Prioritario</t>
        </is>
      </c>
      <c r="C53" s="13" t="inlineStr">
        <is>
          <t>Alta</t>
        </is>
      </c>
      <c r="D53" s="22" t="inlineStr">
        <is>
          <t>Dividido</t>
        </is>
      </c>
      <c r="E53" s="15" t="n"/>
      <c r="F53" s="16" t="n"/>
      <c r="G53" s="17" t="n"/>
      <c r="H53" s="17" t="n"/>
      <c r="I53" s="18" t="n"/>
      <c r="J53" s="16" t="n"/>
      <c r="K53" s="19" t="n">
        <v>3196</v>
      </c>
      <c r="L53" s="20" t="n">
        <v>0.521</v>
      </c>
      <c r="M53" s="20" t="n">
        <v>0.479</v>
      </c>
      <c r="N53" s="21" t="n"/>
    </row>
    <row r="54" ht="22" customHeight="1">
      <c r="A54" s="11" t="inlineStr">
        <is>
          <t>GOIANORTE</t>
        </is>
      </c>
      <c r="B54" s="12" t="inlineStr">
        <is>
          <t>Prioritario</t>
        </is>
      </c>
      <c r="C54" s="13" t="inlineStr">
        <is>
          <t>Alta</t>
        </is>
      </c>
      <c r="D54" s="22" t="inlineStr">
        <is>
          <t>Dividido</t>
        </is>
      </c>
      <c r="E54" s="23" t="n"/>
      <c r="F54" s="24" t="n"/>
      <c r="G54" s="25" t="n"/>
      <c r="H54" s="25" t="n"/>
      <c r="I54" s="26" t="n"/>
      <c r="J54" s="24" t="n"/>
      <c r="K54" s="19" t="n">
        <v>4356</v>
      </c>
      <c r="L54" s="20" t="n">
        <v>0.476</v>
      </c>
      <c r="M54" s="20" t="n">
        <v>0.524</v>
      </c>
      <c r="N54" s="27" t="n"/>
    </row>
    <row r="55" ht="22" customHeight="1">
      <c r="A55" s="11" t="inlineStr">
        <is>
          <t>GOIATINS</t>
        </is>
      </c>
      <c r="B55" s="12" t="inlineStr">
        <is>
          <t>Prioritario</t>
        </is>
      </c>
      <c r="C55" s="13" t="inlineStr">
        <is>
          <t>Alta</t>
        </is>
      </c>
      <c r="D55" s="14" t="inlineStr">
        <is>
          <t>Progressista</t>
        </is>
      </c>
      <c r="E55" s="15" t="n"/>
      <c r="F55" s="16" t="n"/>
      <c r="G55" s="17" t="n"/>
      <c r="H55" s="17" t="n"/>
      <c r="I55" s="18" t="n"/>
      <c r="J55" s="16" t="n"/>
      <c r="K55" s="19" t="n">
        <v>8111</v>
      </c>
      <c r="L55" s="20" t="n">
        <v>0.281</v>
      </c>
      <c r="M55" s="20" t="n">
        <v>0.7190000000000001</v>
      </c>
      <c r="N55" s="21" t="n"/>
    </row>
    <row r="56" ht="22" customHeight="1">
      <c r="A56" s="11" t="inlineStr">
        <is>
          <t>GUARAÍ</t>
        </is>
      </c>
      <c r="B56" s="12" t="inlineStr">
        <is>
          <t>Prioritario</t>
        </is>
      </c>
      <c r="C56" s="13" t="inlineStr">
        <is>
          <t>Alta</t>
        </is>
      </c>
      <c r="D56" s="22" t="inlineStr">
        <is>
          <t>Dividido</t>
        </is>
      </c>
      <c r="E56" s="23" t="n"/>
      <c r="F56" s="24" t="n"/>
      <c r="G56" s="25" t="n"/>
      <c r="H56" s="25" t="n"/>
      <c r="I56" s="26" t="n"/>
      <c r="J56" s="24" t="n"/>
      <c r="K56" s="19" t="n">
        <v>16799</v>
      </c>
      <c r="L56" s="20" t="n">
        <v>0.541</v>
      </c>
      <c r="M56" s="20" t="n">
        <v>0.459</v>
      </c>
      <c r="N56" s="27" t="n"/>
    </row>
    <row r="57" ht="22" customHeight="1">
      <c r="A57" s="11" t="inlineStr">
        <is>
          <t>GURUPI</t>
        </is>
      </c>
      <c r="B57" s="12" t="inlineStr">
        <is>
          <t>Prioritario</t>
        </is>
      </c>
      <c r="C57" s="13" t="inlineStr">
        <is>
          <t>Alta</t>
        </is>
      </c>
      <c r="D57" s="22" t="inlineStr">
        <is>
          <t>Dividido</t>
        </is>
      </c>
      <c r="E57" s="15" t="n"/>
      <c r="F57" s="16" t="n"/>
      <c r="G57" s="17" t="n"/>
      <c r="H57" s="17" t="n"/>
      <c r="I57" s="18" t="n"/>
      <c r="J57" s="16" t="n"/>
      <c r="K57" s="19" t="n">
        <v>58036</v>
      </c>
      <c r="L57" s="20" t="n">
        <v>0.593</v>
      </c>
      <c r="M57" s="20" t="n">
        <v>0.407</v>
      </c>
      <c r="N57" s="21" t="n"/>
    </row>
    <row r="58" ht="22" customHeight="1">
      <c r="A58" s="11" t="inlineStr">
        <is>
          <t>IPUEIRAS</t>
        </is>
      </c>
      <c r="B58" s="12" t="inlineStr">
        <is>
          <t>Prioritario</t>
        </is>
      </c>
      <c r="C58" s="13" t="inlineStr">
        <is>
          <t>Alta</t>
        </is>
      </c>
      <c r="D58" s="14" t="inlineStr">
        <is>
          <t>Progressista</t>
        </is>
      </c>
      <c r="E58" s="23" t="n"/>
      <c r="F58" s="24" t="n"/>
      <c r="G58" s="25" t="n"/>
      <c r="H58" s="25" t="n"/>
      <c r="I58" s="26" t="n"/>
      <c r="J58" s="24" t="n"/>
      <c r="K58" s="19" t="n">
        <v>1690</v>
      </c>
      <c r="L58" s="20" t="n">
        <v>0.271</v>
      </c>
      <c r="M58" s="20" t="n">
        <v>0.7290000000000001</v>
      </c>
      <c r="N58" s="27" t="n"/>
    </row>
    <row r="59" ht="22" customHeight="1">
      <c r="A59" s="11" t="inlineStr">
        <is>
          <t>ITACAJÁ</t>
        </is>
      </c>
      <c r="B59" s="12" t="inlineStr">
        <is>
          <t>Prioritario</t>
        </is>
      </c>
      <c r="C59" s="13" t="inlineStr">
        <is>
          <t>Alta</t>
        </is>
      </c>
      <c r="D59" s="14" t="inlineStr">
        <is>
          <t>Progressista</t>
        </is>
      </c>
      <c r="E59" s="15" t="n"/>
      <c r="F59" s="16" t="n"/>
      <c r="G59" s="17" t="n"/>
      <c r="H59" s="17" t="n"/>
      <c r="I59" s="18" t="n"/>
      <c r="J59" s="16" t="n"/>
      <c r="K59" s="19" t="n">
        <v>5317</v>
      </c>
      <c r="L59" s="20" t="n">
        <v>0.361</v>
      </c>
      <c r="M59" s="20" t="n">
        <v>0.639</v>
      </c>
      <c r="N59" s="21" t="n"/>
    </row>
    <row r="60" ht="22" customHeight="1">
      <c r="A60" s="11" t="inlineStr">
        <is>
          <t>ITAGUATINS</t>
        </is>
      </c>
      <c r="B60" s="12" t="inlineStr">
        <is>
          <t>Prioritario</t>
        </is>
      </c>
      <c r="C60" s="13" t="inlineStr">
        <is>
          <t>Alta</t>
        </is>
      </c>
      <c r="D60" s="14" t="inlineStr">
        <is>
          <t>Progressista</t>
        </is>
      </c>
      <c r="E60" s="23" t="n"/>
      <c r="F60" s="24" t="n"/>
      <c r="G60" s="25" t="n"/>
      <c r="H60" s="25" t="n"/>
      <c r="I60" s="26" t="n"/>
      <c r="J60" s="24" t="n"/>
      <c r="K60" s="19" t="n">
        <v>4415</v>
      </c>
      <c r="L60" s="20" t="n">
        <v>0.324</v>
      </c>
      <c r="M60" s="20" t="n">
        <v>0.6759999999999999</v>
      </c>
      <c r="N60" s="27" t="n"/>
    </row>
    <row r="61" ht="22" customHeight="1">
      <c r="A61" s="11" t="inlineStr">
        <is>
          <t>ITAPIRATINS</t>
        </is>
      </c>
      <c r="B61" s="12" t="inlineStr">
        <is>
          <t>Prioritario</t>
        </is>
      </c>
      <c r="C61" s="13" t="inlineStr">
        <is>
          <t>Alta</t>
        </is>
      </c>
      <c r="D61" s="14" t="inlineStr">
        <is>
          <t>Progressista</t>
        </is>
      </c>
      <c r="E61" s="15" t="n"/>
      <c r="F61" s="16" t="n"/>
      <c r="G61" s="17" t="n"/>
      <c r="H61" s="17" t="n"/>
      <c r="I61" s="18" t="n"/>
      <c r="J61" s="16" t="n"/>
      <c r="K61" s="19" t="n">
        <v>3244</v>
      </c>
      <c r="L61" s="20" t="n">
        <v>0.356</v>
      </c>
      <c r="M61" s="20" t="n">
        <v>0.644</v>
      </c>
      <c r="N61" s="21" t="n"/>
    </row>
    <row r="62" ht="22" customHeight="1">
      <c r="A62" s="11" t="inlineStr">
        <is>
          <t>ITAPORÃ DO TOCANTINS</t>
        </is>
      </c>
      <c r="B62" s="12" t="inlineStr">
        <is>
          <t>Prioritario</t>
        </is>
      </c>
      <c r="C62" s="13" t="inlineStr">
        <is>
          <t>Alta</t>
        </is>
      </c>
      <c r="D62" s="22" t="inlineStr">
        <is>
          <t>Dividido</t>
        </is>
      </c>
      <c r="E62" s="23" t="n"/>
      <c r="F62" s="24" t="n"/>
      <c r="G62" s="25" t="n"/>
      <c r="H62" s="25" t="n"/>
      <c r="I62" s="26" t="n"/>
      <c r="J62" s="24" t="n"/>
      <c r="K62" s="19" t="n">
        <v>2336</v>
      </c>
      <c r="L62" s="20" t="n">
        <v>0.455</v>
      </c>
      <c r="M62" s="20" t="n">
        <v>0.545</v>
      </c>
      <c r="N62" s="27" t="n"/>
    </row>
    <row r="63" ht="22" customHeight="1">
      <c r="A63" s="11" t="inlineStr">
        <is>
          <t>JAÚ DO TOCANTINS</t>
        </is>
      </c>
      <c r="B63" s="12" t="inlineStr">
        <is>
          <t>Prioritario</t>
        </is>
      </c>
      <c r="C63" s="13" t="inlineStr">
        <is>
          <t>Alta</t>
        </is>
      </c>
      <c r="D63" s="22" t="inlineStr">
        <is>
          <t>Dividido</t>
        </is>
      </c>
      <c r="E63" s="15" t="n"/>
      <c r="F63" s="16" t="n"/>
      <c r="G63" s="17" t="n"/>
      <c r="H63" s="17" t="n"/>
      <c r="I63" s="18" t="n"/>
      <c r="J63" s="16" t="n"/>
      <c r="K63" s="19" t="n">
        <v>2815</v>
      </c>
      <c r="L63" s="20" t="n">
        <v>0.459</v>
      </c>
      <c r="M63" s="20" t="n">
        <v>0.541</v>
      </c>
      <c r="N63" s="21" t="n"/>
    </row>
    <row r="64" ht="22" customHeight="1">
      <c r="A64" s="11" t="inlineStr">
        <is>
          <t>JUARINA</t>
        </is>
      </c>
      <c r="B64" s="12" t="inlineStr">
        <is>
          <t>Prioritario</t>
        </is>
      </c>
      <c r="C64" s="13" t="inlineStr">
        <is>
          <t>Alta</t>
        </is>
      </c>
      <c r="D64" s="22" t="inlineStr">
        <is>
          <t>Dividido</t>
        </is>
      </c>
      <c r="E64" s="23" t="n"/>
      <c r="F64" s="24" t="n"/>
      <c r="G64" s="25" t="n"/>
      <c r="H64" s="25" t="n"/>
      <c r="I64" s="26" t="n"/>
      <c r="J64" s="24" t="n"/>
      <c r="K64" s="19" t="n">
        <v>2040</v>
      </c>
      <c r="L64" s="20" t="n">
        <v>0.445</v>
      </c>
      <c r="M64" s="20" t="n">
        <v>0.555</v>
      </c>
      <c r="N64" s="27" t="n"/>
    </row>
    <row r="65" ht="22" customHeight="1">
      <c r="A65" s="11" t="inlineStr">
        <is>
          <t>LAGOA DA CONFUSÃO</t>
        </is>
      </c>
      <c r="B65" s="12" t="inlineStr">
        <is>
          <t>Prioritario</t>
        </is>
      </c>
      <c r="C65" s="13" t="inlineStr">
        <is>
          <t>Alta</t>
        </is>
      </c>
      <c r="D65" s="22" t="inlineStr">
        <is>
          <t>Dividido</t>
        </is>
      </c>
      <c r="E65" s="15" t="n"/>
      <c r="F65" s="16" t="n"/>
      <c r="G65" s="17" t="n"/>
      <c r="H65" s="17" t="n"/>
      <c r="I65" s="18" t="n"/>
      <c r="J65" s="16" t="n"/>
      <c r="K65" s="19" t="n">
        <v>8511</v>
      </c>
      <c r="L65" s="20" t="n">
        <v>0.503</v>
      </c>
      <c r="M65" s="20" t="n">
        <v>0.4970000000000001</v>
      </c>
      <c r="N65" s="21" t="n"/>
    </row>
    <row r="66" ht="22" customHeight="1">
      <c r="A66" s="11" t="inlineStr">
        <is>
          <t>LAGOA DO TOCANTINS</t>
        </is>
      </c>
      <c r="B66" s="12" t="inlineStr">
        <is>
          <t>Prioritario</t>
        </is>
      </c>
      <c r="C66" s="13" t="inlineStr">
        <is>
          <t>Alta</t>
        </is>
      </c>
      <c r="D66" s="14" t="inlineStr">
        <is>
          <t>Progressista</t>
        </is>
      </c>
      <c r="E66" s="23" t="n"/>
      <c r="F66" s="24" t="n"/>
      <c r="G66" s="25" t="n"/>
      <c r="H66" s="25" t="n"/>
      <c r="I66" s="26" t="n"/>
      <c r="J66" s="24" t="n"/>
      <c r="K66" s="19" t="n">
        <v>2992</v>
      </c>
      <c r="L66" s="20" t="n">
        <v>0.328</v>
      </c>
      <c r="M66" s="20" t="n">
        <v>0.672</v>
      </c>
      <c r="N66" s="27" t="n"/>
    </row>
    <row r="67" ht="22" customHeight="1">
      <c r="A67" s="11" t="inlineStr">
        <is>
          <t>LAJEADO</t>
        </is>
      </c>
      <c r="B67" s="12" t="inlineStr">
        <is>
          <t>Prioritario</t>
        </is>
      </c>
      <c r="C67" s="13" t="inlineStr">
        <is>
          <t>Alta</t>
        </is>
      </c>
      <c r="D67" s="22" t="inlineStr">
        <is>
          <t>Dividido</t>
        </is>
      </c>
      <c r="E67" s="15" t="n"/>
      <c r="F67" s="16" t="n"/>
      <c r="G67" s="17" t="n"/>
      <c r="H67" s="17" t="n"/>
      <c r="I67" s="18" t="n"/>
      <c r="J67" s="16" t="n"/>
      <c r="K67" s="19" t="n">
        <v>3275</v>
      </c>
      <c r="L67" s="20" t="n">
        <v>0.481</v>
      </c>
      <c r="M67" s="20" t="n">
        <v>0.519</v>
      </c>
      <c r="N67" s="21" t="n"/>
    </row>
    <row r="68" ht="22" customHeight="1">
      <c r="A68" s="11" t="inlineStr">
        <is>
          <t>LAVANDEIRA</t>
        </is>
      </c>
      <c r="B68" s="12" t="inlineStr">
        <is>
          <t>Prioritario</t>
        </is>
      </c>
      <c r="C68" s="13" t="inlineStr">
        <is>
          <t>Alta</t>
        </is>
      </c>
      <c r="D68" s="14" t="inlineStr">
        <is>
          <t>Progressista</t>
        </is>
      </c>
      <c r="E68" s="23" t="n"/>
      <c r="F68" s="24" t="n"/>
      <c r="G68" s="25" t="n"/>
      <c r="H68" s="25" t="n"/>
      <c r="I68" s="26" t="n"/>
      <c r="J68" s="24" t="n"/>
      <c r="K68" s="19" t="n">
        <v>1764</v>
      </c>
      <c r="L68" s="20" t="n">
        <v>0.355</v>
      </c>
      <c r="M68" s="20" t="n">
        <v>0.645</v>
      </c>
      <c r="N68" s="27" t="n"/>
    </row>
    <row r="69" ht="22" customHeight="1">
      <c r="A69" s="11" t="inlineStr">
        <is>
          <t>LIZARDA</t>
        </is>
      </c>
      <c r="B69" s="12" t="inlineStr">
        <is>
          <t>Prioritario</t>
        </is>
      </c>
      <c r="C69" s="13" t="inlineStr">
        <is>
          <t>Alta</t>
        </is>
      </c>
      <c r="D69" s="14" t="inlineStr">
        <is>
          <t>Progressista</t>
        </is>
      </c>
      <c r="E69" s="15" t="n"/>
      <c r="F69" s="16" t="n"/>
      <c r="G69" s="17" t="n"/>
      <c r="H69" s="17" t="n"/>
      <c r="I69" s="18" t="n"/>
      <c r="J69" s="16" t="n"/>
      <c r="K69" s="19" t="n">
        <v>2948</v>
      </c>
      <c r="L69" s="20" t="n">
        <v>0.248</v>
      </c>
      <c r="M69" s="20" t="n">
        <v>0.752</v>
      </c>
      <c r="N69" s="21" t="n"/>
    </row>
    <row r="70" ht="22" customHeight="1">
      <c r="A70" s="11" t="inlineStr">
        <is>
          <t>MARIANÓPOLIS DO TOCANTINS</t>
        </is>
      </c>
      <c r="B70" s="12" t="inlineStr">
        <is>
          <t>Prioritario</t>
        </is>
      </c>
      <c r="C70" s="13" t="inlineStr">
        <is>
          <t>Alta</t>
        </is>
      </c>
      <c r="D70" s="22" t="inlineStr">
        <is>
          <t>Dividido</t>
        </is>
      </c>
      <c r="E70" s="23" t="n"/>
      <c r="F70" s="24" t="n"/>
      <c r="G70" s="25" t="n"/>
      <c r="H70" s="25" t="n"/>
      <c r="I70" s="26" t="n"/>
      <c r="J70" s="24" t="n"/>
      <c r="K70" s="19" t="n">
        <v>3445</v>
      </c>
      <c r="L70" s="20" t="n">
        <v>0.461</v>
      </c>
      <c r="M70" s="20" t="n">
        <v>0.539</v>
      </c>
      <c r="N70" s="27" t="n"/>
    </row>
    <row r="71" ht="22" customHeight="1">
      <c r="A71" s="11" t="inlineStr">
        <is>
          <t>MATEIROS</t>
        </is>
      </c>
      <c r="B71" s="12" t="inlineStr">
        <is>
          <t>Prioritario</t>
        </is>
      </c>
      <c r="C71" s="13" t="inlineStr">
        <is>
          <t>Alta</t>
        </is>
      </c>
      <c r="D71" s="14" t="inlineStr">
        <is>
          <t>Progressista</t>
        </is>
      </c>
      <c r="E71" s="15" t="n"/>
      <c r="F71" s="16" t="n"/>
      <c r="G71" s="17" t="n"/>
      <c r="H71" s="17" t="n"/>
      <c r="I71" s="18" t="n"/>
      <c r="J71" s="16" t="n"/>
      <c r="K71" s="19" t="n">
        <v>1952</v>
      </c>
      <c r="L71" s="20" t="n">
        <v>0.318</v>
      </c>
      <c r="M71" s="20" t="n">
        <v>0.6820000000000001</v>
      </c>
      <c r="N71" s="21" t="n"/>
    </row>
    <row r="72" ht="22" customHeight="1">
      <c r="A72" s="11" t="inlineStr">
        <is>
          <t>MAURILÂNDIA DO TOCANTINS</t>
        </is>
      </c>
      <c r="B72" s="12" t="inlineStr">
        <is>
          <t>Prioritario</t>
        </is>
      </c>
      <c r="C72" s="13" t="inlineStr">
        <is>
          <t>Alta</t>
        </is>
      </c>
      <c r="D72" s="14" t="inlineStr">
        <is>
          <t>Progressista</t>
        </is>
      </c>
      <c r="E72" s="23" t="n"/>
      <c r="F72" s="24" t="n"/>
      <c r="G72" s="25" t="n"/>
      <c r="H72" s="25" t="n"/>
      <c r="I72" s="26" t="n"/>
      <c r="J72" s="24" t="n"/>
      <c r="K72" s="19" t="n">
        <v>3181</v>
      </c>
      <c r="L72" s="20" t="n">
        <v>0.248</v>
      </c>
      <c r="M72" s="20" t="n">
        <v>0.752</v>
      </c>
      <c r="N72" s="27" t="n"/>
    </row>
    <row r="73" ht="22" customHeight="1">
      <c r="A73" s="11" t="inlineStr">
        <is>
          <t>MIRACEMA DO TOCANTINS</t>
        </is>
      </c>
      <c r="B73" s="12" t="inlineStr">
        <is>
          <t>Prioritario</t>
        </is>
      </c>
      <c r="C73" s="13" t="inlineStr">
        <is>
          <t>Alta</t>
        </is>
      </c>
      <c r="D73" s="14" t="inlineStr">
        <is>
          <t>Progressista</t>
        </is>
      </c>
      <c r="E73" s="15" t="n"/>
      <c r="F73" s="16" t="n"/>
      <c r="G73" s="17" t="n"/>
      <c r="H73" s="17" t="n"/>
      <c r="I73" s="18" t="n"/>
      <c r="J73" s="16" t="n"/>
      <c r="K73" s="19" t="n">
        <v>14089</v>
      </c>
      <c r="L73" s="20" t="n">
        <v>0.394</v>
      </c>
      <c r="M73" s="20" t="n">
        <v>0.606</v>
      </c>
      <c r="N73" s="21" t="n"/>
    </row>
    <row r="74" ht="22" customHeight="1">
      <c r="A74" s="11" t="inlineStr">
        <is>
          <t>MIRANORTE</t>
        </is>
      </c>
      <c r="B74" s="12" t="inlineStr">
        <is>
          <t>Prioritario</t>
        </is>
      </c>
      <c r="C74" s="13" t="inlineStr">
        <is>
          <t>Alta</t>
        </is>
      </c>
      <c r="D74" s="22" t="inlineStr">
        <is>
          <t>Dividido</t>
        </is>
      </c>
      <c r="E74" s="23" t="n"/>
      <c r="F74" s="24" t="n"/>
      <c r="G74" s="25" t="n"/>
      <c r="H74" s="25" t="n"/>
      <c r="I74" s="26" t="n"/>
      <c r="J74" s="24" t="n"/>
      <c r="K74" s="19" t="n">
        <v>9715</v>
      </c>
      <c r="L74" s="20" t="n">
        <v>0.498</v>
      </c>
      <c r="M74" s="20" t="n">
        <v>0.502</v>
      </c>
      <c r="N74" s="27" t="n"/>
    </row>
    <row r="75" ht="22" customHeight="1">
      <c r="A75" s="11" t="inlineStr">
        <is>
          <t>MONTE DO CARMO</t>
        </is>
      </c>
      <c r="B75" s="12" t="inlineStr">
        <is>
          <t>Prioritario</t>
        </is>
      </c>
      <c r="C75" s="13" t="inlineStr">
        <is>
          <t>Alta</t>
        </is>
      </c>
      <c r="D75" s="14" t="inlineStr">
        <is>
          <t>Progressista</t>
        </is>
      </c>
      <c r="E75" s="15" t="n"/>
      <c r="F75" s="16" t="n"/>
      <c r="G75" s="17" t="n"/>
      <c r="H75" s="17" t="n"/>
      <c r="I75" s="18" t="n"/>
      <c r="J75" s="16" t="n"/>
      <c r="K75" s="19" t="n">
        <v>4602</v>
      </c>
      <c r="L75" s="20" t="n">
        <v>0.37</v>
      </c>
      <c r="M75" s="20" t="n">
        <v>0.63</v>
      </c>
      <c r="N75" s="21" t="n"/>
    </row>
    <row r="76" ht="22" customHeight="1">
      <c r="A76" s="11" t="inlineStr">
        <is>
          <t>MONTE SANTO DO TOCANTINS</t>
        </is>
      </c>
      <c r="B76" s="12" t="inlineStr">
        <is>
          <t>Prioritario</t>
        </is>
      </c>
      <c r="C76" s="13" t="inlineStr">
        <is>
          <t>Alta</t>
        </is>
      </c>
      <c r="D76" s="22" t="inlineStr">
        <is>
          <t>Dividido</t>
        </is>
      </c>
      <c r="E76" s="23" t="n"/>
      <c r="F76" s="24" t="n"/>
      <c r="G76" s="25" t="n"/>
      <c r="H76" s="25" t="n"/>
      <c r="I76" s="26" t="n"/>
      <c r="J76" s="24" t="n"/>
      <c r="K76" s="19" t="n">
        <v>2374</v>
      </c>
      <c r="L76" s="20" t="n">
        <v>0.5679999999999999</v>
      </c>
      <c r="M76" s="20" t="n">
        <v>0.4320000000000001</v>
      </c>
      <c r="N76" s="27" t="n"/>
    </row>
    <row r="77" ht="22" customHeight="1">
      <c r="A77" s="11" t="inlineStr">
        <is>
          <t>MURICILÂNDIA</t>
        </is>
      </c>
      <c r="B77" s="12" t="inlineStr">
        <is>
          <t>Prioritario</t>
        </is>
      </c>
      <c r="C77" s="13" t="inlineStr">
        <is>
          <t>Alta</t>
        </is>
      </c>
      <c r="D77" s="14" t="inlineStr">
        <is>
          <t>Progressista</t>
        </is>
      </c>
      <c r="E77" s="15" t="n"/>
      <c r="F77" s="16" t="n"/>
      <c r="G77" s="17" t="n"/>
      <c r="H77" s="17" t="n"/>
      <c r="I77" s="18" t="n"/>
      <c r="J77" s="16" t="n"/>
      <c r="K77" s="19" t="n">
        <v>2647</v>
      </c>
      <c r="L77" s="20" t="n">
        <v>0.367</v>
      </c>
      <c r="M77" s="20" t="n">
        <v>0.633</v>
      </c>
      <c r="N77" s="21" t="n"/>
    </row>
    <row r="78" ht="22" customHeight="1">
      <c r="A78" s="11" t="inlineStr">
        <is>
          <t>NATIVIDADE</t>
        </is>
      </c>
      <c r="B78" s="12" t="inlineStr">
        <is>
          <t>Prioritario</t>
        </is>
      </c>
      <c r="C78" s="13" t="inlineStr">
        <is>
          <t>Alta</t>
        </is>
      </c>
      <c r="D78" s="14" t="inlineStr">
        <is>
          <t>Progressista</t>
        </is>
      </c>
      <c r="E78" s="23" t="n"/>
      <c r="F78" s="24" t="n"/>
      <c r="G78" s="25" t="n"/>
      <c r="H78" s="25" t="n"/>
      <c r="I78" s="26" t="n"/>
      <c r="J78" s="24" t="n"/>
      <c r="K78" s="19" t="n">
        <v>6542</v>
      </c>
      <c r="L78" s="20" t="n">
        <v>0.389</v>
      </c>
      <c r="M78" s="20" t="n">
        <v>0.611</v>
      </c>
      <c r="N78" s="27" t="n"/>
    </row>
    <row r="79" ht="22" customHeight="1">
      <c r="A79" s="11" t="inlineStr">
        <is>
          <t>NAZARÉ</t>
        </is>
      </c>
      <c r="B79" s="12" t="inlineStr">
        <is>
          <t>Prioritario</t>
        </is>
      </c>
      <c r="C79" s="13" t="inlineStr">
        <is>
          <t>Alta</t>
        </is>
      </c>
      <c r="D79" s="14" t="inlineStr">
        <is>
          <t>Progressista</t>
        </is>
      </c>
      <c r="E79" s="15" t="n"/>
      <c r="F79" s="16" t="n"/>
      <c r="G79" s="17" t="n"/>
      <c r="H79" s="17" t="n"/>
      <c r="I79" s="18" t="n"/>
      <c r="J79" s="16" t="n"/>
      <c r="K79" s="19" t="n">
        <v>4025</v>
      </c>
      <c r="L79" s="20" t="n">
        <v>0.269</v>
      </c>
      <c r="M79" s="20" t="n">
        <v>0.731</v>
      </c>
      <c r="N79" s="21" t="n"/>
    </row>
    <row r="80" ht="22" customHeight="1">
      <c r="A80" s="11" t="inlineStr">
        <is>
          <t>NOVA OLINDA</t>
        </is>
      </c>
      <c r="B80" s="12" t="inlineStr">
        <is>
          <t>Prioritario</t>
        </is>
      </c>
      <c r="C80" s="13" t="inlineStr">
        <is>
          <t>Alta</t>
        </is>
      </c>
      <c r="D80" s="22" t="inlineStr">
        <is>
          <t>Dividido</t>
        </is>
      </c>
      <c r="E80" s="23" t="n"/>
      <c r="F80" s="24" t="n"/>
      <c r="G80" s="25" t="n"/>
      <c r="H80" s="25" t="n"/>
      <c r="I80" s="26" t="n"/>
      <c r="J80" s="24" t="n"/>
      <c r="K80" s="19" t="n">
        <v>7821</v>
      </c>
      <c r="L80" s="20" t="n">
        <v>0.458</v>
      </c>
      <c r="M80" s="20" t="n">
        <v>0.542</v>
      </c>
      <c r="N80" s="27" t="n"/>
    </row>
    <row r="81" ht="22" customHeight="1">
      <c r="A81" s="11" t="inlineStr">
        <is>
          <t>NOVA ROSALÂNDIA</t>
        </is>
      </c>
      <c r="B81" s="12" t="inlineStr">
        <is>
          <t>Prioritario</t>
        </is>
      </c>
      <c r="C81" s="13" t="inlineStr">
        <is>
          <t>Alta</t>
        </is>
      </c>
      <c r="D81" s="22" t="inlineStr">
        <is>
          <t>Dividido</t>
        </is>
      </c>
      <c r="E81" s="15" t="n"/>
      <c r="F81" s="16" t="n"/>
      <c r="G81" s="17" t="n"/>
      <c r="H81" s="17" t="n"/>
      <c r="I81" s="18" t="n"/>
      <c r="J81" s="16" t="n"/>
      <c r="K81" s="19" t="n">
        <v>2720</v>
      </c>
      <c r="L81" s="20" t="n">
        <v>0.552</v>
      </c>
      <c r="M81" s="20" t="n">
        <v>0.448</v>
      </c>
      <c r="N81" s="21" t="n"/>
    </row>
    <row r="82" ht="22" customHeight="1">
      <c r="A82" s="11" t="inlineStr">
        <is>
          <t>NOVO ACORDO</t>
        </is>
      </c>
      <c r="B82" s="12" t="inlineStr">
        <is>
          <t>Prioritario</t>
        </is>
      </c>
      <c r="C82" s="13" t="inlineStr">
        <is>
          <t>Alta</t>
        </is>
      </c>
      <c r="D82" s="22" t="inlineStr">
        <is>
          <t>Dividido</t>
        </is>
      </c>
      <c r="E82" s="23" t="n"/>
      <c r="F82" s="24" t="n"/>
      <c r="G82" s="25" t="n"/>
      <c r="H82" s="25" t="n"/>
      <c r="I82" s="26" t="n"/>
      <c r="J82" s="24" t="n"/>
      <c r="K82" s="19" t="n">
        <v>3781</v>
      </c>
      <c r="L82" s="20" t="n">
        <v>0.429</v>
      </c>
      <c r="M82" s="20" t="n">
        <v>0.5710000000000001</v>
      </c>
      <c r="N82" s="27" t="n"/>
    </row>
    <row r="83" ht="22" customHeight="1">
      <c r="A83" s="11" t="inlineStr">
        <is>
          <t>NOVO ALEGRE</t>
        </is>
      </c>
      <c r="B83" s="12" t="inlineStr">
        <is>
          <t>Prioritario</t>
        </is>
      </c>
      <c r="C83" s="13" t="inlineStr">
        <is>
          <t>Alta</t>
        </is>
      </c>
      <c r="D83" s="14" t="inlineStr">
        <is>
          <t>Progressista</t>
        </is>
      </c>
      <c r="E83" s="15" t="n"/>
      <c r="F83" s="16" t="n"/>
      <c r="G83" s="17" t="n"/>
      <c r="H83" s="17" t="n"/>
      <c r="I83" s="18" t="n"/>
      <c r="J83" s="16" t="n"/>
      <c r="K83" s="19" t="n">
        <v>2040</v>
      </c>
      <c r="L83" s="20" t="n">
        <v>0.361</v>
      </c>
      <c r="M83" s="20" t="n">
        <v>0.639</v>
      </c>
      <c r="N83" s="21" t="n"/>
    </row>
    <row r="84" ht="22" customHeight="1">
      <c r="A84" s="11" t="inlineStr">
        <is>
          <t>NOVO JARDIM</t>
        </is>
      </c>
      <c r="B84" s="12" t="inlineStr">
        <is>
          <t>Prioritario</t>
        </is>
      </c>
      <c r="C84" s="13" t="inlineStr">
        <is>
          <t>Alta</t>
        </is>
      </c>
      <c r="D84" s="14" t="inlineStr">
        <is>
          <t>Progressista</t>
        </is>
      </c>
      <c r="E84" s="23" t="n"/>
      <c r="F84" s="24" t="n"/>
      <c r="G84" s="25" t="n"/>
      <c r="H84" s="25" t="n"/>
      <c r="I84" s="26" t="n"/>
      <c r="J84" s="24" t="n"/>
      <c r="K84" s="19" t="n">
        <v>2127</v>
      </c>
      <c r="L84" s="20" t="n">
        <v>0.295</v>
      </c>
      <c r="M84" s="20" t="n">
        <v>0.705</v>
      </c>
      <c r="N84" s="27" t="n"/>
    </row>
    <row r="85" ht="22" customHeight="1">
      <c r="A85" s="11" t="inlineStr">
        <is>
          <t>OLIVEIRA DE FÁTIMA</t>
        </is>
      </c>
      <c r="B85" s="12" t="inlineStr">
        <is>
          <t>Prioritario</t>
        </is>
      </c>
      <c r="C85" s="13" t="inlineStr">
        <is>
          <t>Alta</t>
        </is>
      </c>
      <c r="D85" s="22" t="inlineStr">
        <is>
          <t>Dividido</t>
        </is>
      </c>
      <c r="E85" s="15" t="n"/>
      <c r="F85" s="16" t="n"/>
      <c r="G85" s="17" t="n"/>
      <c r="H85" s="17" t="n"/>
      <c r="I85" s="18" t="n"/>
      <c r="J85" s="16" t="n"/>
      <c r="K85" s="19" t="n">
        <v>1585</v>
      </c>
      <c r="L85" s="20" t="n">
        <v>0.434</v>
      </c>
      <c r="M85" s="20" t="n">
        <v>0.5660000000000001</v>
      </c>
      <c r="N85" s="21" t="n"/>
    </row>
    <row r="86" ht="22" customHeight="1">
      <c r="A86" s="11" t="inlineStr">
        <is>
          <t>PALMAS</t>
        </is>
      </c>
      <c r="B86" s="12" t="inlineStr">
        <is>
          <t>Prioritario</t>
        </is>
      </c>
      <c r="C86" s="13" t="inlineStr">
        <is>
          <t>Alta</t>
        </is>
      </c>
      <c r="D86" s="28" t="inlineStr">
        <is>
          <t>Conservador</t>
        </is>
      </c>
      <c r="E86" s="23" t="n"/>
      <c r="F86" s="24" t="n"/>
      <c r="G86" s="25" t="n"/>
      <c r="H86" s="25" t="n"/>
      <c r="I86" s="26" t="n"/>
      <c r="J86" s="24" t="n"/>
      <c r="K86" s="19" t="n">
        <v>198181</v>
      </c>
      <c r="L86" s="20" t="n">
        <v>0.603</v>
      </c>
      <c r="M86" s="20" t="n">
        <v>0.397</v>
      </c>
      <c r="N86" s="27" t="n"/>
    </row>
    <row r="87" ht="22" customHeight="1">
      <c r="A87" s="11" t="inlineStr">
        <is>
          <t>PALMEIRANTE</t>
        </is>
      </c>
      <c r="B87" s="12" t="inlineStr">
        <is>
          <t>Prioritario</t>
        </is>
      </c>
      <c r="C87" s="13" t="inlineStr">
        <is>
          <t>Alta</t>
        </is>
      </c>
      <c r="D87" s="14" t="inlineStr">
        <is>
          <t>Progressista</t>
        </is>
      </c>
      <c r="E87" s="15" t="n"/>
      <c r="F87" s="16" t="n"/>
      <c r="G87" s="17" t="n"/>
      <c r="H87" s="17" t="n"/>
      <c r="I87" s="18" t="n"/>
      <c r="J87" s="16" t="n"/>
      <c r="K87" s="19" t="n">
        <v>3759</v>
      </c>
      <c r="L87" s="20" t="n">
        <v>0.332</v>
      </c>
      <c r="M87" s="20" t="n">
        <v>0.6679999999999999</v>
      </c>
      <c r="N87" s="21" t="n"/>
    </row>
    <row r="88" ht="22" customHeight="1">
      <c r="A88" s="11" t="inlineStr">
        <is>
          <t>PALMEIRÓPOLIS</t>
        </is>
      </c>
      <c r="B88" s="12" t="inlineStr">
        <is>
          <t>Prioritario</t>
        </is>
      </c>
      <c r="C88" s="13" t="inlineStr">
        <is>
          <t>Alta</t>
        </is>
      </c>
      <c r="D88" s="22" t="inlineStr">
        <is>
          <t>Dividido</t>
        </is>
      </c>
      <c r="E88" s="23" t="n"/>
      <c r="F88" s="24" t="n"/>
      <c r="G88" s="25" t="n"/>
      <c r="H88" s="25" t="n"/>
      <c r="I88" s="26" t="n"/>
      <c r="J88" s="24" t="n"/>
      <c r="K88" s="19" t="n">
        <v>5517</v>
      </c>
      <c r="L88" s="20" t="n">
        <v>0.55</v>
      </c>
      <c r="M88" s="20" t="n">
        <v>0.45</v>
      </c>
      <c r="N88" s="27" t="n"/>
    </row>
    <row r="89" ht="22" customHeight="1">
      <c r="A89" s="11" t="inlineStr">
        <is>
          <t>PARANÃ</t>
        </is>
      </c>
      <c r="B89" s="12" t="inlineStr">
        <is>
          <t>Prioritario</t>
        </is>
      </c>
      <c r="C89" s="13" t="inlineStr">
        <is>
          <t>Alta</t>
        </is>
      </c>
      <c r="D89" s="14" t="inlineStr">
        <is>
          <t>Progressista</t>
        </is>
      </c>
      <c r="E89" s="15" t="n"/>
      <c r="F89" s="16" t="n"/>
      <c r="G89" s="17" t="n"/>
      <c r="H89" s="17" t="n"/>
      <c r="I89" s="18" t="n"/>
      <c r="J89" s="16" t="n"/>
      <c r="K89" s="19" t="n">
        <v>7915</v>
      </c>
      <c r="L89" s="20" t="n">
        <v>0.203</v>
      </c>
      <c r="M89" s="20" t="n">
        <v>0.797</v>
      </c>
      <c r="N89" s="21" t="n"/>
    </row>
    <row r="90" ht="22" customHeight="1">
      <c r="A90" s="11" t="inlineStr">
        <is>
          <t>PARAÍSO DO TOCANTINS</t>
        </is>
      </c>
      <c r="B90" s="12" t="inlineStr">
        <is>
          <t>Prioritario</t>
        </is>
      </c>
      <c r="C90" s="13" t="inlineStr">
        <is>
          <t>Alta</t>
        </is>
      </c>
      <c r="D90" s="28" t="inlineStr">
        <is>
          <t>Conservador</t>
        </is>
      </c>
      <c r="E90" s="23" t="n"/>
      <c r="F90" s="24" t="n"/>
      <c r="G90" s="25" t="n"/>
      <c r="H90" s="25" t="n"/>
      <c r="I90" s="26" t="n"/>
      <c r="J90" s="24" t="n"/>
      <c r="K90" s="19" t="n">
        <v>33115</v>
      </c>
      <c r="L90" s="20" t="n">
        <v>0.68</v>
      </c>
      <c r="M90" s="20" t="n">
        <v>0.32</v>
      </c>
      <c r="N90" s="27" t="n"/>
    </row>
    <row r="91" ht="22" customHeight="1">
      <c r="A91" s="11" t="inlineStr">
        <is>
          <t>PAU D ARCO</t>
        </is>
      </c>
      <c r="B91" s="12" t="inlineStr">
        <is>
          <t>Prioritario</t>
        </is>
      </c>
      <c r="C91" s="13" t="inlineStr">
        <is>
          <t>Alta</t>
        </is>
      </c>
      <c r="D91" s="22" t="inlineStr">
        <is>
          <t>Dividido</t>
        </is>
      </c>
      <c r="E91" s="15" t="n"/>
      <c r="F91" s="16" t="n"/>
      <c r="G91" s="17" t="n"/>
      <c r="H91" s="17" t="n"/>
      <c r="I91" s="18" t="n"/>
      <c r="J91" s="16" t="n"/>
      <c r="K91" s="19" t="n">
        <v>3391</v>
      </c>
      <c r="L91" s="20" t="n">
        <v>0.476</v>
      </c>
      <c r="M91" s="20" t="n">
        <v>0.524</v>
      </c>
      <c r="N91" s="21" t="n"/>
    </row>
    <row r="92" ht="22" customHeight="1">
      <c r="A92" s="11" t="inlineStr">
        <is>
          <t>PEDRO AFONSO</t>
        </is>
      </c>
      <c r="B92" s="12" t="inlineStr">
        <is>
          <t>Prioritario</t>
        </is>
      </c>
      <c r="C92" s="13" t="inlineStr">
        <is>
          <t>Alta</t>
        </is>
      </c>
      <c r="D92" s="22" t="inlineStr">
        <is>
          <t>Dividido</t>
        </is>
      </c>
      <c r="E92" s="23" t="n"/>
      <c r="F92" s="24" t="n"/>
      <c r="G92" s="25" t="n"/>
      <c r="H92" s="25" t="n"/>
      <c r="I92" s="26" t="n"/>
      <c r="J92" s="24" t="n"/>
      <c r="K92" s="19" t="n">
        <v>9838</v>
      </c>
      <c r="L92" s="20" t="n">
        <v>0.493</v>
      </c>
      <c r="M92" s="20" t="n">
        <v>0.507</v>
      </c>
      <c r="N92" s="27" t="n"/>
    </row>
    <row r="93" ht="22" customHeight="1">
      <c r="A93" s="11" t="inlineStr">
        <is>
          <t>PEIXE</t>
        </is>
      </c>
      <c r="B93" s="12" t="inlineStr">
        <is>
          <t>Prioritario</t>
        </is>
      </c>
      <c r="C93" s="13" t="inlineStr">
        <is>
          <t>Alta</t>
        </is>
      </c>
      <c r="D93" s="14" t="inlineStr">
        <is>
          <t>Progressista</t>
        </is>
      </c>
      <c r="E93" s="15" t="n"/>
      <c r="F93" s="16" t="n"/>
      <c r="G93" s="17" t="n"/>
      <c r="H93" s="17" t="n"/>
      <c r="I93" s="18" t="n"/>
      <c r="J93" s="16" t="n"/>
      <c r="K93" s="19" t="n">
        <v>7044</v>
      </c>
      <c r="L93" s="20" t="n">
        <v>0.338</v>
      </c>
      <c r="M93" s="20" t="n">
        <v>0.662</v>
      </c>
      <c r="N93" s="21" t="n"/>
    </row>
    <row r="94" ht="22" customHeight="1">
      <c r="A94" s="11" t="inlineStr">
        <is>
          <t>PEQUIZEIRO</t>
        </is>
      </c>
      <c r="B94" s="12" t="inlineStr">
        <is>
          <t>Prioritario</t>
        </is>
      </c>
      <c r="C94" s="13" t="inlineStr">
        <is>
          <t>Alta</t>
        </is>
      </c>
      <c r="D94" s="22" t="inlineStr">
        <is>
          <t>Dividido</t>
        </is>
      </c>
      <c r="E94" s="23" t="n"/>
      <c r="F94" s="24" t="n"/>
      <c r="G94" s="25" t="n"/>
      <c r="H94" s="25" t="n"/>
      <c r="I94" s="26" t="n"/>
      <c r="J94" s="24" t="n"/>
      <c r="K94" s="19" t="n">
        <v>4102</v>
      </c>
      <c r="L94" s="20" t="n">
        <v>0.43</v>
      </c>
      <c r="M94" s="20" t="n">
        <v>0.57</v>
      </c>
      <c r="N94" s="27" t="n"/>
    </row>
    <row r="95" ht="22" customHeight="1">
      <c r="A95" s="11" t="inlineStr">
        <is>
          <t>PINDORAMA DO TOCANTINS</t>
        </is>
      </c>
      <c r="B95" s="12" t="inlineStr">
        <is>
          <t>Prioritario</t>
        </is>
      </c>
      <c r="C95" s="13" t="inlineStr">
        <is>
          <t>Alta</t>
        </is>
      </c>
      <c r="D95" s="14" t="inlineStr">
        <is>
          <t>Progressista</t>
        </is>
      </c>
      <c r="E95" s="15" t="n"/>
      <c r="F95" s="16" t="n"/>
      <c r="G95" s="17" t="n"/>
      <c r="H95" s="17" t="n"/>
      <c r="I95" s="18" t="n"/>
      <c r="J95" s="16" t="n"/>
      <c r="K95" s="19" t="n">
        <v>3575</v>
      </c>
      <c r="L95" s="20" t="n">
        <v>0.397</v>
      </c>
      <c r="M95" s="20" t="n">
        <v>0.603</v>
      </c>
      <c r="N95" s="21" t="n"/>
    </row>
    <row r="96" ht="22" customHeight="1">
      <c r="A96" s="11" t="inlineStr">
        <is>
          <t>PIRAQUÊ</t>
        </is>
      </c>
      <c r="B96" s="12" t="inlineStr">
        <is>
          <t>Prioritario</t>
        </is>
      </c>
      <c r="C96" s="13" t="inlineStr">
        <is>
          <t>Alta</t>
        </is>
      </c>
      <c r="D96" s="22" t="inlineStr">
        <is>
          <t>Dividido</t>
        </is>
      </c>
      <c r="E96" s="23" t="n"/>
      <c r="F96" s="24" t="n"/>
      <c r="G96" s="25" t="n"/>
      <c r="H96" s="25" t="n"/>
      <c r="I96" s="26" t="n"/>
      <c r="J96" s="24" t="n"/>
      <c r="K96" s="19" t="n">
        <v>2189</v>
      </c>
      <c r="L96" s="20" t="n">
        <v>0.401</v>
      </c>
      <c r="M96" s="20" t="n">
        <v>0.599</v>
      </c>
      <c r="N96" s="27" t="n"/>
    </row>
    <row r="97" ht="22" customHeight="1">
      <c r="A97" s="11" t="inlineStr">
        <is>
          <t>PIUM</t>
        </is>
      </c>
      <c r="B97" s="12" t="inlineStr">
        <is>
          <t>Prioritario</t>
        </is>
      </c>
      <c r="C97" s="13" t="inlineStr">
        <is>
          <t>Alta</t>
        </is>
      </c>
      <c r="D97" s="22" t="inlineStr">
        <is>
          <t>Dividido</t>
        </is>
      </c>
      <c r="E97" s="15" t="n"/>
      <c r="F97" s="16" t="n"/>
      <c r="G97" s="17" t="n"/>
      <c r="H97" s="17" t="n"/>
      <c r="I97" s="18" t="n"/>
      <c r="J97" s="16" t="n"/>
      <c r="K97" s="19" t="n">
        <v>5821</v>
      </c>
      <c r="L97" s="20" t="n">
        <v>0.508</v>
      </c>
      <c r="M97" s="20" t="n">
        <v>0.492</v>
      </c>
      <c r="N97" s="21" t="n"/>
    </row>
    <row r="98" ht="22" customHeight="1">
      <c r="A98" s="11" t="inlineStr">
        <is>
          <t>PONTE ALTA DO BOM JESUS</t>
        </is>
      </c>
      <c r="B98" s="12" t="inlineStr">
        <is>
          <t>Prioritario</t>
        </is>
      </c>
      <c r="C98" s="13" t="inlineStr">
        <is>
          <t>Alta</t>
        </is>
      </c>
      <c r="D98" s="14" t="inlineStr">
        <is>
          <t>Progressista</t>
        </is>
      </c>
      <c r="E98" s="23" t="n"/>
      <c r="F98" s="24" t="n"/>
      <c r="G98" s="25" t="n"/>
      <c r="H98" s="25" t="n"/>
      <c r="I98" s="26" t="n"/>
      <c r="J98" s="24" t="n"/>
      <c r="K98" s="19" t="n">
        <v>3399</v>
      </c>
      <c r="L98" s="20" t="n">
        <v>0.303</v>
      </c>
      <c r="M98" s="20" t="n">
        <v>0.6970000000000001</v>
      </c>
      <c r="N98" s="27" t="n"/>
    </row>
    <row r="99" ht="22" customHeight="1">
      <c r="A99" s="11" t="inlineStr">
        <is>
          <t>PONTE ALTA DO TOCANTINS</t>
        </is>
      </c>
      <c r="B99" s="12" t="inlineStr">
        <is>
          <t>Prioritario</t>
        </is>
      </c>
      <c r="C99" s="13" t="inlineStr">
        <is>
          <t>Alta</t>
        </is>
      </c>
      <c r="D99" s="22" t="inlineStr">
        <is>
          <t>Dividido</t>
        </is>
      </c>
      <c r="E99" s="15" t="n"/>
      <c r="F99" s="16" t="n"/>
      <c r="G99" s="17" t="n"/>
      <c r="H99" s="17" t="n"/>
      <c r="I99" s="18" t="n"/>
      <c r="J99" s="16" t="n"/>
      <c r="K99" s="19" t="n">
        <v>5346</v>
      </c>
      <c r="L99" s="20" t="n">
        <v>0.478</v>
      </c>
      <c r="M99" s="20" t="n">
        <v>0.522</v>
      </c>
      <c r="N99" s="21" t="n"/>
    </row>
    <row r="100" ht="22" customHeight="1">
      <c r="A100" s="11" t="inlineStr">
        <is>
          <t>PORTO ALEGRE DO TOCANTINS</t>
        </is>
      </c>
      <c r="B100" s="12" t="inlineStr">
        <is>
          <t>Prioritario</t>
        </is>
      </c>
      <c r="C100" s="13" t="inlineStr">
        <is>
          <t>Alta</t>
        </is>
      </c>
      <c r="D100" s="14" t="inlineStr">
        <is>
          <t>Progressista</t>
        </is>
      </c>
      <c r="E100" s="23" t="n"/>
      <c r="F100" s="24" t="n"/>
      <c r="G100" s="25" t="n"/>
      <c r="H100" s="25" t="n"/>
      <c r="I100" s="26" t="n"/>
      <c r="J100" s="24" t="n"/>
      <c r="K100" s="19" t="n">
        <v>2267</v>
      </c>
      <c r="L100" s="20" t="n">
        <v>0.296</v>
      </c>
      <c r="M100" s="20" t="n">
        <v>0.7040000000000001</v>
      </c>
      <c r="N100" s="27" t="n"/>
    </row>
    <row r="101" ht="22" customHeight="1">
      <c r="A101" s="11" t="inlineStr">
        <is>
          <t>PORTO NACIONAL</t>
        </is>
      </c>
      <c r="B101" s="12" t="inlineStr">
        <is>
          <t>Prioritario</t>
        </is>
      </c>
      <c r="C101" s="13" t="inlineStr">
        <is>
          <t>Alta</t>
        </is>
      </c>
      <c r="D101" s="22" t="inlineStr">
        <is>
          <t>Dividido</t>
        </is>
      </c>
      <c r="E101" s="15" t="n"/>
      <c r="F101" s="16" t="n"/>
      <c r="G101" s="17" t="n"/>
      <c r="H101" s="17" t="n"/>
      <c r="I101" s="18" t="n"/>
      <c r="J101" s="16" t="n"/>
      <c r="K101" s="19" t="n">
        <v>42779</v>
      </c>
      <c r="L101" s="20" t="n">
        <v>0.474</v>
      </c>
      <c r="M101" s="20" t="n">
        <v>0.526</v>
      </c>
      <c r="N101" s="21" t="n"/>
    </row>
    <row r="102" ht="22" customHeight="1">
      <c r="A102" s="11" t="inlineStr">
        <is>
          <t>PRAIA NORTE</t>
        </is>
      </c>
      <c r="B102" s="12" t="inlineStr">
        <is>
          <t>Prioritario</t>
        </is>
      </c>
      <c r="C102" s="13" t="inlineStr">
        <is>
          <t>Alta</t>
        </is>
      </c>
      <c r="D102" s="14" t="inlineStr">
        <is>
          <t>Progressista</t>
        </is>
      </c>
      <c r="E102" s="23" t="n"/>
      <c r="F102" s="24" t="n"/>
      <c r="G102" s="25" t="n"/>
      <c r="H102" s="25" t="n"/>
      <c r="I102" s="26" t="n"/>
      <c r="J102" s="24" t="n"/>
      <c r="K102" s="19" t="n">
        <v>5508</v>
      </c>
      <c r="L102" s="20" t="n">
        <v>0.314</v>
      </c>
      <c r="M102" s="20" t="n">
        <v>0.6859999999999999</v>
      </c>
      <c r="N102" s="27" t="n"/>
    </row>
    <row r="103" ht="22" customHeight="1">
      <c r="A103" s="11" t="inlineStr">
        <is>
          <t>PRESIDENTE KENNEDY</t>
        </is>
      </c>
      <c r="B103" s="12" t="inlineStr">
        <is>
          <t>Prioritario</t>
        </is>
      </c>
      <c r="C103" s="13" t="inlineStr">
        <is>
          <t>Alta</t>
        </is>
      </c>
      <c r="D103" s="22" t="inlineStr">
        <is>
          <t>Dividido</t>
        </is>
      </c>
      <c r="E103" s="15" t="n"/>
      <c r="F103" s="16" t="n"/>
      <c r="G103" s="17" t="n"/>
      <c r="H103" s="17" t="n"/>
      <c r="I103" s="18" t="n"/>
      <c r="J103" s="16" t="n"/>
      <c r="K103" s="19" t="n">
        <v>2673</v>
      </c>
      <c r="L103" s="20" t="n">
        <v>0.45</v>
      </c>
      <c r="M103" s="20" t="n">
        <v>0.55</v>
      </c>
      <c r="N103" s="21" t="n"/>
    </row>
    <row r="104" ht="22" customHeight="1">
      <c r="A104" s="11" t="inlineStr">
        <is>
          <t>PUGMIL</t>
        </is>
      </c>
      <c r="B104" s="12" t="inlineStr">
        <is>
          <t>Prioritario</t>
        </is>
      </c>
      <c r="C104" s="13" t="inlineStr">
        <is>
          <t>Alta</t>
        </is>
      </c>
      <c r="D104" s="22" t="inlineStr">
        <is>
          <t>Dividido</t>
        </is>
      </c>
      <c r="E104" s="23" t="n"/>
      <c r="F104" s="24" t="n"/>
      <c r="G104" s="25" t="n"/>
      <c r="H104" s="25" t="n"/>
      <c r="I104" s="26" t="n"/>
      <c r="J104" s="24" t="n"/>
      <c r="K104" s="19" t="n">
        <v>2049</v>
      </c>
      <c r="L104" s="20" t="n">
        <v>0.531</v>
      </c>
      <c r="M104" s="20" t="n">
        <v>0.469</v>
      </c>
      <c r="N104" s="27" t="n"/>
    </row>
    <row r="105" ht="22" customHeight="1">
      <c r="A105" s="11" t="inlineStr">
        <is>
          <t>RIO DOS BOIS</t>
        </is>
      </c>
      <c r="B105" s="12" t="inlineStr">
        <is>
          <t>Prioritario</t>
        </is>
      </c>
      <c r="C105" s="13" t="inlineStr">
        <is>
          <t>Alta</t>
        </is>
      </c>
      <c r="D105" s="14" t="inlineStr">
        <is>
          <t>Progressista</t>
        </is>
      </c>
      <c r="E105" s="15" t="n"/>
      <c r="F105" s="16" t="n"/>
      <c r="G105" s="17" t="n"/>
      <c r="H105" s="17" t="n"/>
      <c r="I105" s="18" t="n"/>
      <c r="J105" s="16" t="n"/>
      <c r="K105" s="19" t="n">
        <v>2502</v>
      </c>
      <c r="L105" s="20" t="n">
        <v>0.368</v>
      </c>
      <c r="M105" s="20" t="n">
        <v>0.632</v>
      </c>
      <c r="N105" s="21" t="n"/>
    </row>
    <row r="106" ht="22" customHeight="1">
      <c r="A106" s="11" t="inlineStr">
        <is>
          <t>RIO SONO</t>
        </is>
      </c>
      <c r="B106" s="12" t="inlineStr">
        <is>
          <t>Prioritario</t>
        </is>
      </c>
      <c r="C106" s="13" t="inlineStr">
        <is>
          <t>Alta</t>
        </is>
      </c>
      <c r="D106" s="22" t="inlineStr">
        <is>
          <t>Dividido</t>
        </is>
      </c>
      <c r="E106" s="23" t="n"/>
      <c r="F106" s="24" t="n"/>
      <c r="G106" s="25" t="n"/>
      <c r="H106" s="25" t="n"/>
      <c r="I106" s="26" t="n"/>
      <c r="J106" s="24" t="n"/>
      <c r="K106" s="19" t="n">
        <v>4045</v>
      </c>
      <c r="L106" s="20" t="n">
        <v>0.424</v>
      </c>
      <c r="M106" s="20" t="n">
        <v>0.5760000000000001</v>
      </c>
      <c r="N106" s="27" t="n"/>
    </row>
    <row r="107" ht="22" customHeight="1">
      <c r="A107" s="11" t="inlineStr">
        <is>
          <t>SAMPAIO</t>
        </is>
      </c>
      <c r="B107" s="12" t="inlineStr">
        <is>
          <t>Prioritario</t>
        </is>
      </c>
      <c r="C107" s="13" t="inlineStr">
        <is>
          <t>Alta</t>
        </is>
      </c>
      <c r="D107" s="14" t="inlineStr">
        <is>
          <t>Progressista</t>
        </is>
      </c>
      <c r="E107" s="15" t="n"/>
      <c r="F107" s="16" t="n"/>
      <c r="G107" s="17" t="n"/>
      <c r="H107" s="17" t="n"/>
      <c r="I107" s="18" t="n"/>
      <c r="J107" s="16" t="n"/>
      <c r="K107" s="19" t="n">
        <v>3670</v>
      </c>
      <c r="L107" s="20" t="n">
        <v>0.301</v>
      </c>
      <c r="M107" s="20" t="n">
        <v>0.6990000000000001</v>
      </c>
      <c r="N107" s="21" t="n"/>
    </row>
    <row r="108" ht="22" customHeight="1">
      <c r="A108" s="11" t="inlineStr">
        <is>
          <t>SANDOLÂNDIA</t>
        </is>
      </c>
      <c r="B108" s="12" t="inlineStr">
        <is>
          <t>Prioritario</t>
        </is>
      </c>
      <c r="C108" s="13" t="inlineStr">
        <is>
          <t>Alta</t>
        </is>
      </c>
      <c r="D108" s="22" t="inlineStr">
        <is>
          <t>Dividido</t>
        </is>
      </c>
      <c r="E108" s="23" t="n"/>
      <c r="F108" s="24" t="n"/>
      <c r="G108" s="25" t="n"/>
      <c r="H108" s="25" t="n"/>
      <c r="I108" s="26" t="n"/>
      <c r="J108" s="24" t="n"/>
      <c r="K108" s="19" t="n">
        <v>3342</v>
      </c>
      <c r="L108" s="20" t="n">
        <v>0.52</v>
      </c>
      <c r="M108" s="20" t="n">
        <v>0.48</v>
      </c>
      <c r="N108" s="27" t="n"/>
    </row>
    <row r="109" ht="22" customHeight="1">
      <c r="A109" s="11" t="inlineStr">
        <is>
          <t>SANTA MARIA DO TOCANTINS</t>
        </is>
      </c>
      <c r="B109" s="12" t="inlineStr">
        <is>
          <t>Prioritario</t>
        </is>
      </c>
      <c r="C109" s="13" t="inlineStr">
        <is>
          <t>Alta</t>
        </is>
      </c>
      <c r="D109" s="22" t="inlineStr">
        <is>
          <t>Dividido</t>
        </is>
      </c>
      <c r="E109" s="15" t="n"/>
      <c r="F109" s="16" t="n"/>
      <c r="G109" s="17" t="n"/>
      <c r="H109" s="17" t="n"/>
      <c r="I109" s="18" t="n"/>
      <c r="J109" s="16" t="n"/>
      <c r="K109" s="19" t="n">
        <v>2510</v>
      </c>
      <c r="L109" s="20" t="n">
        <v>0.447</v>
      </c>
      <c r="M109" s="20" t="n">
        <v>0.5529999999999999</v>
      </c>
      <c r="N109" s="21" t="n"/>
    </row>
    <row r="110" ht="22" customHeight="1">
      <c r="A110" s="11" t="inlineStr">
        <is>
          <t>SANTA RITA DO TOCANTINS</t>
        </is>
      </c>
      <c r="B110" s="12" t="inlineStr">
        <is>
          <t>Prioritario</t>
        </is>
      </c>
      <c r="C110" s="13" t="inlineStr">
        <is>
          <t>Alta</t>
        </is>
      </c>
      <c r="D110" s="22" t="inlineStr">
        <is>
          <t>Dividido</t>
        </is>
      </c>
      <c r="E110" s="23" t="n"/>
      <c r="F110" s="24" t="n"/>
      <c r="G110" s="25" t="n"/>
      <c r="H110" s="25" t="n"/>
      <c r="I110" s="26" t="n"/>
      <c r="J110" s="24" t="n"/>
      <c r="K110" s="19" t="n">
        <v>2021</v>
      </c>
      <c r="L110" s="20" t="n">
        <v>0.489</v>
      </c>
      <c r="M110" s="20" t="n">
        <v>0.511</v>
      </c>
      <c r="N110" s="27" t="n"/>
    </row>
    <row r="111" ht="22" customHeight="1">
      <c r="A111" s="11" t="inlineStr">
        <is>
          <t>SANTA ROSA DO TOCANTINS</t>
        </is>
      </c>
      <c r="B111" s="12" t="inlineStr">
        <is>
          <t>Prioritario</t>
        </is>
      </c>
      <c r="C111" s="13" t="inlineStr">
        <is>
          <t>Alta</t>
        </is>
      </c>
      <c r="D111" s="14" t="inlineStr">
        <is>
          <t>Progressista</t>
        </is>
      </c>
      <c r="E111" s="15" t="n"/>
      <c r="F111" s="16" t="n"/>
      <c r="G111" s="17" t="n"/>
      <c r="H111" s="17" t="n"/>
      <c r="I111" s="18" t="n"/>
      <c r="J111" s="16" t="n"/>
      <c r="K111" s="19" t="n">
        <v>4020</v>
      </c>
      <c r="L111" s="20" t="n">
        <v>0.301</v>
      </c>
      <c r="M111" s="20" t="n">
        <v>0.6990000000000001</v>
      </c>
      <c r="N111" s="21" t="n"/>
    </row>
    <row r="112" ht="22" customHeight="1">
      <c r="A112" s="11" t="inlineStr">
        <is>
          <t>SANTA TEREZA DO TOCANTINS</t>
        </is>
      </c>
      <c r="B112" s="12" t="inlineStr">
        <is>
          <t>Prioritario</t>
        </is>
      </c>
      <c r="C112" s="13" t="inlineStr">
        <is>
          <t>Alta</t>
        </is>
      </c>
      <c r="D112" s="22" t="inlineStr">
        <is>
          <t>Dividido</t>
        </is>
      </c>
      <c r="E112" s="23" t="n"/>
      <c r="F112" s="24" t="n"/>
      <c r="G112" s="25" t="n"/>
      <c r="H112" s="25" t="n"/>
      <c r="I112" s="26" t="n"/>
      <c r="J112" s="24" t="n"/>
      <c r="K112" s="19" t="n">
        <v>2862</v>
      </c>
      <c r="L112" s="20" t="n">
        <v>0.487</v>
      </c>
      <c r="M112" s="20" t="n">
        <v>0.513</v>
      </c>
      <c r="N112" s="27" t="n"/>
    </row>
    <row r="113" ht="22" customHeight="1">
      <c r="A113" s="11" t="inlineStr">
        <is>
          <t>SILVANÓPOLIS</t>
        </is>
      </c>
      <c r="B113" s="12" t="inlineStr">
        <is>
          <t>Prioritario</t>
        </is>
      </c>
      <c r="C113" s="13" t="inlineStr">
        <is>
          <t>Alta</t>
        </is>
      </c>
      <c r="D113" s="22" t="inlineStr">
        <is>
          <t>Dividido</t>
        </is>
      </c>
      <c r="E113" s="15" t="n"/>
      <c r="F113" s="16" t="n"/>
      <c r="G113" s="17" t="n"/>
      <c r="H113" s="17" t="n"/>
      <c r="I113" s="18" t="n"/>
      <c r="J113" s="16" t="n"/>
      <c r="K113" s="19" t="n">
        <v>4485</v>
      </c>
      <c r="L113" s="20" t="n">
        <v>0.401</v>
      </c>
      <c r="M113" s="20" t="n">
        <v>0.599</v>
      </c>
      <c r="N113" s="21" t="n"/>
    </row>
    <row r="114" ht="22" customHeight="1">
      <c r="A114" s="11" t="inlineStr">
        <is>
          <t>SUCUPIRA</t>
        </is>
      </c>
      <c r="B114" s="12" t="inlineStr">
        <is>
          <t>Prioritario</t>
        </is>
      </c>
      <c r="C114" s="13" t="inlineStr">
        <is>
          <t>Alta</t>
        </is>
      </c>
      <c r="D114" s="22" t="inlineStr">
        <is>
          <t>Dividido</t>
        </is>
      </c>
      <c r="E114" s="23" t="n"/>
      <c r="F114" s="24" t="n"/>
      <c r="G114" s="25" t="n"/>
      <c r="H114" s="25" t="n"/>
      <c r="I114" s="26" t="n"/>
      <c r="J114" s="24" t="n"/>
      <c r="K114" s="19" t="n">
        <v>1618</v>
      </c>
      <c r="L114" s="20" t="n">
        <v>0.481</v>
      </c>
      <c r="M114" s="20" t="n">
        <v>0.519</v>
      </c>
      <c r="N114" s="27" t="n"/>
    </row>
    <row r="115" ht="22" customHeight="1">
      <c r="A115" s="11" t="inlineStr">
        <is>
          <t>SÃO BENTO DO TOCANTINS</t>
        </is>
      </c>
      <c r="B115" s="12" t="inlineStr">
        <is>
          <t>Prioritario</t>
        </is>
      </c>
      <c r="C115" s="13" t="inlineStr">
        <is>
          <t>Alta</t>
        </is>
      </c>
      <c r="D115" s="14" t="inlineStr">
        <is>
          <t>Progressista</t>
        </is>
      </c>
      <c r="E115" s="15" t="n"/>
      <c r="F115" s="16" t="n"/>
      <c r="G115" s="17" t="n"/>
      <c r="H115" s="17" t="n"/>
      <c r="I115" s="18" t="n"/>
      <c r="J115" s="16" t="n"/>
      <c r="K115" s="19" t="n">
        <v>4506</v>
      </c>
      <c r="L115" s="20" t="n">
        <v>0.296</v>
      </c>
      <c r="M115" s="20" t="n">
        <v>0.7040000000000001</v>
      </c>
      <c r="N115" s="21" t="n"/>
    </row>
    <row r="116" ht="22" customHeight="1">
      <c r="A116" s="11" t="inlineStr">
        <is>
          <t>SÃO FÉLIX DO TOCANTINS</t>
        </is>
      </c>
      <c r="B116" s="12" t="inlineStr">
        <is>
          <t>Prioritario</t>
        </is>
      </c>
      <c r="C116" s="13" t="inlineStr">
        <is>
          <t>Alta</t>
        </is>
      </c>
      <c r="D116" s="14" t="inlineStr">
        <is>
          <t>Progressista</t>
        </is>
      </c>
      <c r="E116" s="23" t="n"/>
      <c r="F116" s="24" t="n"/>
      <c r="G116" s="25" t="n"/>
      <c r="H116" s="25" t="n"/>
      <c r="I116" s="26" t="n"/>
      <c r="J116" s="24" t="n"/>
      <c r="K116" s="19" t="n">
        <v>1593</v>
      </c>
      <c r="L116" s="20" t="n">
        <v>0.259</v>
      </c>
      <c r="M116" s="20" t="n">
        <v>0.741</v>
      </c>
      <c r="N116" s="27" t="n"/>
    </row>
    <row r="117" ht="22" customHeight="1">
      <c r="A117" s="11" t="inlineStr">
        <is>
          <t>SÃO MIGUEL DO TOCANTINS</t>
        </is>
      </c>
      <c r="B117" s="12" t="inlineStr">
        <is>
          <t>Prioritario</t>
        </is>
      </c>
      <c r="C117" s="13" t="inlineStr">
        <is>
          <t>Alta</t>
        </is>
      </c>
      <c r="D117" s="14" t="inlineStr">
        <is>
          <t>Progressista</t>
        </is>
      </c>
      <c r="E117" s="15" t="n"/>
      <c r="F117" s="16" t="n"/>
      <c r="G117" s="17" t="n"/>
      <c r="H117" s="17" t="n"/>
      <c r="I117" s="18" t="n"/>
      <c r="J117" s="16" t="n"/>
      <c r="K117" s="19" t="n">
        <v>7793</v>
      </c>
      <c r="L117" s="20" t="n">
        <v>0.353</v>
      </c>
      <c r="M117" s="20" t="n">
        <v>0.647</v>
      </c>
      <c r="N117" s="21" t="n"/>
    </row>
    <row r="118" ht="22" customHeight="1">
      <c r="A118" s="11" t="inlineStr">
        <is>
          <t>SÃO SALVADOR DO TOCANTINS</t>
        </is>
      </c>
      <c r="B118" s="12" t="inlineStr">
        <is>
          <t>Prioritario</t>
        </is>
      </c>
      <c r="C118" s="13" t="inlineStr">
        <is>
          <t>Alta</t>
        </is>
      </c>
      <c r="D118" s="14" t="inlineStr">
        <is>
          <t>Progressista</t>
        </is>
      </c>
      <c r="E118" s="23" t="n"/>
      <c r="F118" s="24" t="n"/>
      <c r="G118" s="25" t="n"/>
      <c r="H118" s="25" t="n"/>
      <c r="I118" s="26" t="n"/>
      <c r="J118" s="24" t="n"/>
      <c r="K118" s="19" t="n">
        <v>2358</v>
      </c>
      <c r="L118" s="20" t="n">
        <v>0.302</v>
      </c>
      <c r="M118" s="20" t="n">
        <v>0.698</v>
      </c>
      <c r="N118" s="27" t="n"/>
    </row>
    <row r="119" ht="22" customHeight="1">
      <c r="A119" s="11" t="inlineStr">
        <is>
          <t>SÃO SEBASTIÃO DO TOCANTINS</t>
        </is>
      </c>
      <c r="B119" s="12" t="inlineStr">
        <is>
          <t>Prioritario</t>
        </is>
      </c>
      <c r="C119" s="13" t="inlineStr">
        <is>
          <t>Alta</t>
        </is>
      </c>
      <c r="D119" s="14" t="inlineStr">
        <is>
          <t>Progressista</t>
        </is>
      </c>
      <c r="E119" s="15" t="n"/>
      <c r="F119" s="16" t="n"/>
      <c r="G119" s="17" t="n"/>
      <c r="H119" s="17" t="n"/>
      <c r="I119" s="18" t="n"/>
      <c r="J119" s="16" t="n"/>
      <c r="K119" s="19" t="n">
        <v>3193</v>
      </c>
      <c r="L119" s="20" t="n">
        <v>0.276</v>
      </c>
      <c r="M119" s="20" t="n">
        <v>0.7240000000000001</v>
      </c>
      <c r="N119" s="21" t="n"/>
    </row>
    <row r="120" ht="22" customHeight="1">
      <c r="A120" s="11" t="inlineStr">
        <is>
          <t>SÃO VALÉRIO</t>
        </is>
      </c>
      <c r="B120" s="12" t="inlineStr">
        <is>
          <t>Prioritario</t>
        </is>
      </c>
      <c r="C120" s="13" t="inlineStr">
        <is>
          <t>Alta</t>
        </is>
      </c>
      <c r="D120" s="14" t="inlineStr">
        <is>
          <t>Progressista</t>
        </is>
      </c>
      <c r="E120" s="23" t="n"/>
      <c r="F120" s="24" t="n"/>
      <c r="G120" s="25" t="n"/>
      <c r="H120" s="25" t="n"/>
      <c r="I120" s="26" t="n"/>
      <c r="J120" s="24" t="n"/>
      <c r="K120" s="19" t="n">
        <v>3718</v>
      </c>
      <c r="L120" s="20" t="n">
        <v>0.272</v>
      </c>
      <c r="M120" s="20" t="n">
        <v>0.728</v>
      </c>
      <c r="N120" s="27" t="n"/>
    </row>
    <row r="121" ht="22" customHeight="1">
      <c r="A121" s="11" t="inlineStr">
        <is>
          <t>TABOCÃO</t>
        </is>
      </c>
      <c r="B121" s="12" t="inlineStr">
        <is>
          <t>Prioritario</t>
        </is>
      </c>
      <c r="C121" s="13" t="inlineStr">
        <is>
          <t>Alta</t>
        </is>
      </c>
      <c r="D121" s="22" t="inlineStr">
        <is>
          <t>Dividido</t>
        </is>
      </c>
      <c r="E121" s="15" t="n"/>
      <c r="F121" s="16" t="n"/>
      <c r="G121" s="17" t="n"/>
      <c r="H121" s="17" t="n"/>
      <c r="I121" s="18" t="n"/>
      <c r="J121" s="16" t="n"/>
      <c r="K121" s="19" t="n">
        <v>3061</v>
      </c>
      <c r="L121" s="20" t="n">
        <v>0.459</v>
      </c>
      <c r="M121" s="20" t="n">
        <v>0.541</v>
      </c>
      <c r="N121" s="21" t="n"/>
    </row>
    <row r="122" ht="22" customHeight="1">
      <c r="A122" s="11" t="inlineStr">
        <is>
          <t>TAGUATINGA</t>
        </is>
      </c>
      <c r="B122" s="12" t="inlineStr">
        <is>
          <t>Prioritario</t>
        </is>
      </c>
      <c r="C122" s="13" t="inlineStr">
        <is>
          <t>Alta</t>
        </is>
      </c>
      <c r="D122" s="14" t="inlineStr">
        <is>
          <t>Progressista</t>
        </is>
      </c>
      <c r="E122" s="23" t="n"/>
      <c r="F122" s="24" t="n"/>
      <c r="G122" s="25" t="n"/>
      <c r="H122" s="25" t="n"/>
      <c r="I122" s="26" t="n"/>
      <c r="J122" s="24" t="n"/>
      <c r="K122" s="19" t="n">
        <v>10405</v>
      </c>
      <c r="L122" s="20" t="n">
        <v>0.355</v>
      </c>
      <c r="M122" s="20" t="n">
        <v>0.645</v>
      </c>
      <c r="N122" s="27" t="n"/>
    </row>
    <row r="123" ht="22" customHeight="1">
      <c r="A123" s="11" t="inlineStr">
        <is>
          <t>TAIPAS DO TOCANTINS</t>
        </is>
      </c>
      <c r="B123" s="12" t="inlineStr">
        <is>
          <t>Prioritario</t>
        </is>
      </c>
      <c r="C123" s="13" t="inlineStr">
        <is>
          <t>Alta</t>
        </is>
      </c>
      <c r="D123" s="14" t="inlineStr">
        <is>
          <t>Progressista</t>
        </is>
      </c>
      <c r="E123" s="15" t="n"/>
      <c r="F123" s="16" t="n"/>
      <c r="G123" s="17" t="n"/>
      <c r="H123" s="17" t="n"/>
      <c r="I123" s="18" t="n"/>
      <c r="J123" s="16" t="n"/>
      <c r="K123" s="19" t="n">
        <v>1930</v>
      </c>
      <c r="L123" s="20" t="n">
        <v>0.243</v>
      </c>
      <c r="M123" s="20" t="n">
        <v>0.757</v>
      </c>
      <c r="N123" s="21" t="n"/>
    </row>
    <row r="124" ht="22" customHeight="1">
      <c r="A124" s="11" t="inlineStr">
        <is>
          <t>TALISMÃ</t>
        </is>
      </c>
      <c r="B124" s="12" t="inlineStr">
        <is>
          <t>Prioritario</t>
        </is>
      </c>
      <c r="C124" s="13" t="inlineStr">
        <is>
          <t>Alta</t>
        </is>
      </c>
      <c r="D124" s="22" t="inlineStr">
        <is>
          <t>Dividido</t>
        </is>
      </c>
      <c r="E124" s="23" t="n"/>
      <c r="F124" s="24" t="n"/>
      <c r="G124" s="25" t="n"/>
      <c r="H124" s="25" t="n"/>
      <c r="I124" s="26" t="n"/>
      <c r="J124" s="24" t="n"/>
      <c r="K124" s="19" t="n">
        <v>2556</v>
      </c>
      <c r="L124" s="20" t="n">
        <v>0.47</v>
      </c>
      <c r="M124" s="20" t="n">
        <v>0.53</v>
      </c>
      <c r="N124" s="27" t="n"/>
    </row>
    <row r="125" ht="22" customHeight="1">
      <c r="A125" s="11" t="inlineStr">
        <is>
          <t>TOCANTINÓPOLIS</t>
        </is>
      </c>
      <c r="B125" s="12" t="inlineStr">
        <is>
          <t>Prioritario</t>
        </is>
      </c>
      <c r="C125" s="13" t="inlineStr">
        <is>
          <t>Alta</t>
        </is>
      </c>
      <c r="D125" s="14" t="inlineStr">
        <is>
          <t>Progressista</t>
        </is>
      </c>
      <c r="E125" s="15" t="n"/>
      <c r="F125" s="16" t="n"/>
      <c r="G125" s="17" t="n"/>
      <c r="H125" s="17" t="n"/>
      <c r="I125" s="18" t="n"/>
      <c r="J125" s="16" t="n"/>
      <c r="K125" s="19" t="n">
        <v>15700</v>
      </c>
      <c r="L125" s="20" t="n">
        <v>0.326</v>
      </c>
      <c r="M125" s="20" t="n">
        <v>0.674</v>
      </c>
      <c r="N125" s="21" t="n"/>
    </row>
    <row r="126" ht="22" customHeight="1">
      <c r="A126" s="11" t="inlineStr">
        <is>
          <t>TOCANTÍNIA</t>
        </is>
      </c>
      <c r="B126" s="12" t="inlineStr">
        <is>
          <t>Prioritario</t>
        </is>
      </c>
      <c r="C126" s="13" t="inlineStr">
        <is>
          <t>Alta</t>
        </is>
      </c>
      <c r="D126" s="14" t="inlineStr">
        <is>
          <t>Progressista</t>
        </is>
      </c>
      <c r="E126" s="23" t="n"/>
      <c r="F126" s="24" t="n"/>
      <c r="G126" s="25" t="n"/>
      <c r="H126" s="25" t="n"/>
      <c r="I126" s="26" t="n"/>
      <c r="J126" s="24" t="n"/>
      <c r="K126" s="19" t="n">
        <v>4866</v>
      </c>
      <c r="L126" s="20" t="n">
        <v>0.28</v>
      </c>
      <c r="M126" s="20" t="n">
        <v>0.72</v>
      </c>
      <c r="N126" s="27" t="n"/>
    </row>
    <row r="127" ht="22" customHeight="1">
      <c r="A127" s="11" t="inlineStr">
        <is>
          <t>TUPIRAMA</t>
        </is>
      </c>
      <c r="B127" s="12" t="inlineStr">
        <is>
          <t>Prioritario</t>
        </is>
      </c>
      <c r="C127" s="13" t="inlineStr">
        <is>
          <t>Alta</t>
        </is>
      </c>
      <c r="D127" s="22" t="inlineStr">
        <is>
          <t>Dividido</t>
        </is>
      </c>
      <c r="E127" s="15" t="n"/>
      <c r="F127" s="16" t="n"/>
      <c r="G127" s="17" t="n"/>
      <c r="H127" s="17" t="n"/>
      <c r="I127" s="18" t="n"/>
      <c r="J127" s="16" t="n"/>
      <c r="K127" s="19" t="n">
        <v>1886</v>
      </c>
      <c r="L127" s="20" t="n">
        <v>0.411</v>
      </c>
      <c r="M127" s="20" t="n">
        <v>0.589</v>
      </c>
      <c r="N127" s="21" t="n"/>
    </row>
    <row r="128" ht="22" customHeight="1">
      <c r="A128" s="11" t="inlineStr">
        <is>
          <t>TUPIRATINS</t>
        </is>
      </c>
      <c r="B128" s="12" t="inlineStr">
        <is>
          <t>Prioritario</t>
        </is>
      </c>
      <c r="C128" s="13" t="inlineStr">
        <is>
          <t>Alta</t>
        </is>
      </c>
      <c r="D128" s="14" t="inlineStr">
        <is>
          <t>Progressista</t>
        </is>
      </c>
      <c r="E128" s="23" t="n"/>
      <c r="F128" s="24" t="n"/>
      <c r="G128" s="25" t="n"/>
      <c r="H128" s="25" t="n"/>
      <c r="I128" s="26" t="n"/>
      <c r="J128" s="24" t="n"/>
      <c r="K128" s="19" t="n">
        <v>1840</v>
      </c>
      <c r="L128" s="20" t="n">
        <v>0.322</v>
      </c>
      <c r="M128" s="20" t="n">
        <v>0.6779999999999999</v>
      </c>
      <c r="N128" s="27" t="n"/>
    </row>
    <row r="129" ht="22" customHeight="1">
      <c r="A129" s="11" t="inlineStr">
        <is>
          <t>WANDERLÂNDIA</t>
        </is>
      </c>
      <c r="B129" s="12" t="inlineStr">
        <is>
          <t>Prioritario</t>
        </is>
      </c>
      <c r="C129" s="13" t="inlineStr">
        <is>
          <t>Alta</t>
        </is>
      </c>
      <c r="D129" s="14" t="inlineStr">
        <is>
          <t>Progressista</t>
        </is>
      </c>
      <c r="E129" s="15" t="n"/>
      <c r="F129" s="16" t="n"/>
      <c r="G129" s="17" t="n"/>
      <c r="H129" s="17" t="n"/>
      <c r="I129" s="18" t="n"/>
      <c r="J129" s="16" t="n"/>
      <c r="K129" s="19" t="n">
        <v>6893</v>
      </c>
      <c r="L129" s="20" t="n">
        <v>0.396</v>
      </c>
      <c r="M129" s="20" t="n">
        <v>0.604</v>
      </c>
      <c r="N129" s="21" t="n"/>
    </row>
    <row r="130" ht="22" customHeight="1">
      <c r="A130" s="11" t="inlineStr">
        <is>
          <t>XAMBIOÁ</t>
        </is>
      </c>
      <c r="B130" s="12" t="inlineStr">
        <is>
          <t>Prioritario</t>
        </is>
      </c>
      <c r="C130" s="13" t="inlineStr">
        <is>
          <t>Alta</t>
        </is>
      </c>
      <c r="D130" s="22" t="inlineStr">
        <is>
          <t>Dividido</t>
        </is>
      </c>
      <c r="E130" s="23" t="n"/>
      <c r="F130" s="24" t="n"/>
      <c r="G130" s="25" t="n"/>
      <c r="H130" s="25" t="n"/>
      <c r="I130" s="26" t="n"/>
      <c r="J130" s="24" t="n"/>
      <c r="K130" s="19" t="n">
        <v>8327</v>
      </c>
      <c r="L130" s="20" t="n">
        <v>0.504</v>
      </c>
      <c r="M130" s="20" t="n">
        <v>0.496</v>
      </c>
      <c r="N130" s="27" t="n"/>
    </row>
    <row r="131" ht="22" customHeight="1">
      <c r="A131" s="11" t="inlineStr">
        <is>
          <t>ABREULÂNDIA</t>
        </is>
      </c>
      <c r="B131" s="29" t="inlineStr">
        <is>
          <t>Pendente</t>
        </is>
      </c>
      <c r="C131" s="30" t="inlineStr">
        <is>
          <t>Media</t>
        </is>
      </c>
      <c r="D131" s="22" t="inlineStr">
        <is>
          <t>Dividido</t>
        </is>
      </c>
      <c r="E131" s="15" t="n"/>
      <c r="F131" s="16" t="n"/>
      <c r="G131" s="17" t="n"/>
      <c r="H131" s="17" t="n"/>
      <c r="I131" s="18" t="n"/>
      <c r="J131" s="16" t="n"/>
      <c r="K131" s="19" t="n">
        <v>2339</v>
      </c>
      <c r="L131" s="20" t="n">
        <v>0.421</v>
      </c>
      <c r="M131" s="20" t="n">
        <v>0.579</v>
      </c>
      <c r="N131" s="21" t="n"/>
    </row>
    <row r="132" ht="22" customHeight="1">
      <c r="A132" s="11" t="inlineStr">
        <is>
          <t>ARAGUACEMA</t>
        </is>
      </c>
      <c r="B132" s="29" t="inlineStr">
        <is>
          <t>Pendente</t>
        </is>
      </c>
      <c r="C132" s="30" t="inlineStr">
        <is>
          <t>Media</t>
        </is>
      </c>
      <c r="D132" s="14" t="inlineStr">
        <is>
          <t>Progressista</t>
        </is>
      </c>
      <c r="E132" s="23" t="n"/>
      <c r="F132" s="24" t="n"/>
      <c r="G132" s="25" t="n"/>
      <c r="H132" s="25" t="n"/>
      <c r="I132" s="26" t="n"/>
      <c r="J132" s="24" t="n"/>
      <c r="K132" s="19" t="n">
        <v>4769</v>
      </c>
      <c r="L132" s="20" t="n">
        <v>0.39</v>
      </c>
      <c r="M132" s="20" t="n">
        <v>0.61</v>
      </c>
      <c r="N132" s="27" t="n"/>
    </row>
    <row r="133" ht="22" customHeight="1">
      <c r="A133" s="11" t="inlineStr">
        <is>
          <t>ARRAIAS</t>
        </is>
      </c>
      <c r="B133" s="29" t="inlineStr">
        <is>
          <t>Pendente</t>
        </is>
      </c>
      <c r="C133" s="30" t="inlineStr">
        <is>
          <t>Media</t>
        </is>
      </c>
      <c r="D133" s="14" t="inlineStr">
        <is>
          <t>Progressista</t>
        </is>
      </c>
      <c r="E133" s="15" t="n"/>
      <c r="F133" s="16" t="n"/>
      <c r="G133" s="17" t="n"/>
      <c r="H133" s="17" t="n"/>
      <c r="I133" s="18" t="n"/>
      <c r="J133" s="16" t="n"/>
      <c r="K133" s="19" t="n">
        <v>7824</v>
      </c>
      <c r="L133" s="20" t="n">
        <v>0.256</v>
      </c>
      <c r="M133" s="20" t="n">
        <v>0.7440000000000001</v>
      </c>
      <c r="N133" s="21" t="n"/>
    </row>
    <row r="134" ht="22" customHeight="1">
      <c r="A134" s="11" t="inlineStr">
        <is>
          <t>LUZINÓPOLIS</t>
        </is>
      </c>
      <c r="B134" s="29" t="inlineStr">
        <is>
          <t>Pendente</t>
        </is>
      </c>
      <c r="C134" s="30" t="inlineStr">
        <is>
          <t>Media</t>
        </is>
      </c>
      <c r="D134" s="14" t="inlineStr">
        <is>
          <t>Progressista</t>
        </is>
      </c>
      <c r="E134" s="23" t="n"/>
      <c r="F134" s="24" t="n"/>
      <c r="G134" s="25" t="n"/>
      <c r="H134" s="25" t="n"/>
      <c r="I134" s="26" t="n"/>
      <c r="J134" s="24" t="n"/>
      <c r="K134" s="19" t="n">
        <v>2447</v>
      </c>
      <c r="L134" s="20" t="n">
        <v>0.363</v>
      </c>
      <c r="M134" s="20" t="n">
        <v>0.637</v>
      </c>
      <c r="N134" s="27" t="n"/>
    </row>
    <row r="135" ht="22" customHeight="1">
      <c r="A135" s="11" t="inlineStr">
        <is>
          <t>PALMEIRAS DO TOCANTINS</t>
        </is>
      </c>
      <c r="B135" s="29" t="inlineStr">
        <is>
          <t>Pendente</t>
        </is>
      </c>
      <c r="C135" s="30" t="inlineStr">
        <is>
          <t>Media</t>
        </is>
      </c>
      <c r="D135" s="14" t="inlineStr">
        <is>
          <t>Progressista</t>
        </is>
      </c>
      <c r="E135" s="15" t="n"/>
      <c r="F135" s="16" t="n"/>
      <c r="G135" s="17" t="n"/>
      <c r="H135" s="17" t="n"/>
      <c r="I135" s="18" t="n"/>
      <c r="J135" s="16" t="n"/>
      <c r="K135" s="19" t="n">
        <v>4080</v>
      </c>
      <c r="L135" s="20" t="n">
        <v>0.376</v>
      </c>
      <c r="M135" s="20" t="n">
        <v>0.624</v>
      </c>
      <c r="N135" s="21" t="n"/>
    </row>
    <row r="136" ht="22" customHeight="1">
      <c r="A136" s="11" t="inlineStr">
        <is>
          <t>RECURSOLÂNDIA</t>
        </is>
      </c>
      <c r="B136" s="29" t="inlineStr">
        <is>
          <t>Pendente</t>
        </is>
      </c>
      <c r="C136" s="30" t="inlineStr">
        <is>
          <t>Media</t>
        </is>
      </c>
      <c r="D136" s="14" t="inlineStr">
        <is>
          <t>Progressista</t>
        </is>
      </c>
      <c r="E136" s="23" t="n"/>
      <c r="F136" s="24" t="n"/>
      <c r="G136" s="25" t="n"/>
      <c r="H136" s="25" t="n"/>
      <c r="I136" s="26" t="n"/>
      <c r="J136" s="24" t="n"/>
      <c r="K136" s="19" t="n">
        <v>2831</v>
      </c>
      <c r="L136" s="20" t="n">
        <v>0.271</v>
      </c>
      <c r="M136" s="20" t="n">
        <v>0.7290000000000001</v>
      </c>
      <c r="N136" s="27" t="n"/>
    </row>
    <row r="137" ht="22" customHeight="1">
      <c r="A137" s="11" t="inlineStr">
        <is>
          <t>RIACHINHO</t>
        </is>
      </c>
      <c r="B137" s="29" t="inlineStr">
        <is>
          <t>Pendente</t>
        </is>
      </c>
      <c r="C137" s="30" t="inlineStr">
        <is>
          <t>Media</t>
        </is>
      </c>
      <c r="D137" s="14" t="inlineStr">
        <is>
          <t>Progressista</t>
        </is>
      </c>
      <c r="E137" s="15" t="n"/>
      <c r="F137" s="16" t="n"/>
      <c r="G137" s="17" t="n"/>
      <c r="H137" s="17" t="n"/>
      <c r="I137" s="18" t="n"/>
      <c r="J137" s="16" t="n"/>
      <c r="K137" s="19" t="n">
        <v>3605</v>
      </c>
      <c r="L137" s="20" t="n">
        <v>0.376</v>
      </c>
      <c r="M137" s="20" t="n">
        <v>0.624</v>
      </c>
      <c r="N137" s="21" t="n"/>
    </row>
    <row r="138" ht="22" customHeight="1">
      <c r="A138" s="11" t="inlineStr">
        <is>
          <t>RIO DA CONCEIÇÃO</t>
        </is>
      </c>
      <c r="B138" s="29" t="inlineStr">
        <is>
          <t>Pendente</t>
        </is>
      </c>
      <c r="C138" s="30" t="inlineStr">
        <is>
          <t>Media</t>
        </is>
      </c>
      <c r="D138" s="14" t="inlineStr">
        <is>
          <t>Progressista</t>
        </is>
      </c>
      <c r="E138" s="23" t="n"/>
      <c r="F138" s="24" t="n"/>
      <c r="G138" s="25" t="n"/>
      <c r="H138" s="25" t="n"/>
      <c r="I138" s="26" t="n"/>
      <c r="J138" s="24" t="n"/>
      <c r="K138" s="19" t="n">
        <v>2040</v>
      </c>
      <c r="L138" s="20" t="n">
        <v>0.322</v>
      </c>
      <c r="M138" s="20" t="n">
        <v>0.6779999999999999</v>
      </c>
      <c r="N138" s="27" t="n"/>
    </row>
    <row r="139" ht="22" customHeight="1">
      <c r="A139" s="11" t="inlineStr">
        <is>
          <t>SANTA FÉ DO ARAGUAIA</t>
        </is>
      </c>
      <c r="B139" s="29" t="inlineStr">
        <is>
          <t>Pendente</t>
        </is>
      </c>
      <c r="C139" s="30" t="inlineStr">
        <is>
          <t>Media</t>
        </is>
      </c>
      <c r="D139" s="22" t="inlineStr">
        <is>
          <t>Dividido</t>
        </is>
      </c>
      <c r="E139" s="15" t="n"/>
      <c r="F139" s="16" t="n"/>
      <c r="G139" s="17" t="n"/>
      <c r="H139" s="17" t="n"/>
      <c r="I139" s="18" t="n"/>
      <c r="J139" s="16" t="n"/>
      <c r="K139" s="19" t="n">
        <v>5150</v>
      </c>
      <c r="L139" s="20" t="n">
        <v>0.427</v>
      </c>
      <c r="M139" s="20" t="n">
        <v>0.573</v>
      </c>
      <c r="N139" s="21" t="n"/>
    </row>
    <row r="140" ht="22" customHeight="1">
      <c r="A140" s="11" t="inlineStr">
        <is>
          <t>SANTA TEREZINHA DO TOCANTINS</t>
        </is>
      </c>
      <c r="B140" s="29" t="inlineStr">
        <is>
          <t>Pendente</t>
        </is>
      </c>
      <c r="C140" s="30" t="inlineStr">
        <is>
          <t>Media</t>
        </is>
      </c>
      <c r="D140" s="14" t="inlineStr">
        <is>
          <t>Progressista</t>
        </is>
      </c>
      <c r="E140" s="23" t="n"/>
      <c r="F140" s="24" t="n"/>
      <c r="G140" s="25" t="n"/>
      <c r="H140" s="25" t="n"/>
      <c r="I140" s="26" t="n"/>
      <c r="J140" s="24" t="n"/>
      <c r="K140" s="19" t="n">
        <v>2051</v>
      </c>
      <c r="L140" s="20" t="n">
        <v>0.354</v>
      </c>
      <c r="M140" s="20" t="n">
        <v>0.6459999999999999</v>
      </c>
      <c r="N140" s="27" t="n"/>
    </row>
    <row r="141" ht="22" customHeight="1">
      <c r="A141" s="31" t="inlineStr">
        <is>
          <t>SÍTIO NOVO DO TOCANTINS</t>
        </is>
      </c>
      <c r="B141" s="32" t="inlineStr">
        <is>
          <t>Pendente</t>
        </is>
      </c>
      <c r="C141" s="33" t="inlineStr">
        <is>
          <t>Media</t>
        </is>
      </c>
      <c r="D141" s="34" t="inlineStr">
        <is>
          <t>Progressista</t>
        </is>
      </c>
      <c r="E141" s="35" t="n"/>
      <c r="F141" s="36" t="n"/>
      <c r="G141" s="37" t="n"/>
      <c r="H141" s="37" t="n"/>
      <c r="I141" s="38" t="n"/>
      <c r="J141" s="36" t="n"/>
      <c r="K141" s="39" t="n">
        <v>7671</v>
      </c>
      <c r="L141" s="40" t="n">
        <v>0.314</v>
      </c>
      <c r="M141" s="40" t="n">
        <v>0.6859999999999999</v>
      </c>
      <c r="N141" s="41" t="n"/>
    </row>
  </sheetData>
  <autoFilter ref="A2:N141"/>
  <mergeCells count="3">
    <mergeCell ref="A1:E1"/>
    <mergeCell ref="J1:N1"/>
    <mergeCell ref="F1:I1"/>
  </mergeCells>
  <conditionalFormatting sqref="B3:B141">
    <cfRule type="cellIs" priority="1" operator="equal" dxfId="0">
      <formula>"Visitado"</formula>
    </cfRule>
    <cfRule type="cellIs" priority="2" operator="equal" dxfId="1">
      <formula>"Agendado"</formula>
    </cfRule>
    <cfRule type="cellIs" priority="3" operator="equal" dxfId="2">
      <formula>"Com lideranca"</formula>
    </cfRule>
    <cfRule type="cellIs" priority="4" operator="equal" dxfId="3">
      <formula>"Prioritario"</formula>
    </cfRule>
    <cfRule type="cellIs" priority="5" operator="equal" dxfId="4">
      <formula>"Pendente"</formula>
    </cfRule>
  </conditionalFormatting>
  <conditionalFormatting sqref="C3:C141">
    <cfRule type="cellIs" priority="6" operator="equal" dxfId="5">
      <formula>"Alta"</formula>
    </cfRule>
    <cfRule type="cellIs" priority="7" operator="equal" dxfId="6">
      <formula>"Media"</formula>
    </cfRule>
    <cfRule type="cellIs" priority="8" operator="equal" dxfId="7">
      <formula>"Baixa"</formula>
    </cfRule>
  </conditionalFormatting>
  <conditionalFormatting sqref="D3:D141">
    <cfRule type="cellIs" priority="9" operator="equal" dxfId="8">
      <formula>"Conservador"</formula>
    </cfRule>
    <cfRule type="cellIs" priority="10" operator="equal" dxfId="9">
      <formula>"Dividido"</formula>
    </cfRule>
    <cfRule type="cellIs" priority="11" operator="equal" dxfId="10">
      <formula>"Progressista"</formula>
    </cfRule>
  </conditionalFormatting>
  <dataValidations count="2">
    <dataValidation sqref="B3:B141" showDropDown="0" showInputMessage="0" showErrorMessage="1" allowBlank="0" errorTitle="Status invalido" error="Use o dropdown para selecionar o status correto." type="list">
      <formula1>"Visitado,Agendado,Com lideranca,Prioritario,Pendente"</formula1>
    </dataValidation>
    <dataValidation sqref="I3:I141" showDropDown="0" showInputMessage="0" showErrorMessage="0" allowBlank="0" type="list">
      <formula1>"S,N"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6" customHeight="1">
      <c r="A1" s="42" t="inlineStr">
        <is>
          <t>RESUMO DE CAMPO - MONITOR ELEITORAL</t>
        </is>
      </c>
    </row>
    <row r="2" ht="22" customHeight="1">
      <c r="A2" s="43" t="inlineStr">
        <is>
          <t>Campanha 2026 - Cel. Marcio Barbosa - Tocantins</t>
        </is>
      </c>
    </row>
    <row r="4" ht="22" customHeight="1">
      <c r="A4" s="44" t="inlineStr">
        <is>
          <t>TOTAL</t>
        </is>
      </c>
      <c r="B4" s="45" t="inlineStr">
        <is>
          <t>VISITADOS</t>
        </is>
      </c>
      <c r="C4" s="46" t="inlineStr">
        <is>
          <t>AGENDADOS</t>
        </is>
      </c>
      <c r="D4" s="47" t="inlineStr">
        <is>
          <t>C/ LIDERANCA</t>
        </is>
      </c>
      <c r="E4" s="48" t="inlineStr">
        <is>
          <t>PRIORITARIOS</t>
        </is>
      </c>
      <c r="F4" s="49" t="inlineStr">
        <is>
          <t>PENDENTES</t>
        </is>
      </c>
    </row>
    <row r="5" ht="48" customHeight="1">
      <c r="A5" s="50">
        <f>COUNTA(Liderancas!A3:A200)</f>
        <v/>
      </c>
      <c r="B5" s="51">
        <f>COUNTIF(Liderancas!B3:B200,"Visitado")</f>
        <v/>
      </c>
      <c r="C5" s="52">
        <f>COUNTIF(Liderancas!B3:B200,"Agendado")</f>
        <v/>
      </c>
      <c r="D5" s="53">
        <f>COUNTIF(Liderancas!B3:B200,"Com lideranca")</f>
        <v/>
      </c>
      <c r="E5" s="54">
        <f>COUNTIF(Liderancas!B3:B200,"Prioritario")</f>
        <v/>
      </c>
      <c r="F5" s="55">
        <f>COUNTIF(Liderancas!B3:B200,"Pendente")</f>
        <v/>
      </c>
    </row>
    <row r="7" ht="30" customHeight="1">
      <c r="A7" s="56" t="inlineStr">
        <is>
          <t>COBERTURA</t>
        </is>
      </c>
      <c r="B7" s="57">
        <f>1-(COUNTBLANK(Liderancas!B3:B200)/COUNTA(Liderancas!A3:A200))</f>
        <v/>
      </c>
    </row>
    <row r="8" ht="20" customHeight="1">
      <c r="A8" s="58" t="inlineStr">
        <is>
          <t>Sem status:</t>
        </is>
      </c>
      <c r="B8" s="58">
        <f>COUNTBLANK(Liderancas!B3:B200)</f>
        <v/>
      </c>
    </row>
    <row r="10" ht="20" customHeight="1">
      <c r="A10" s="59" t="inlineStr">
        <is>
          <t>POR TENDENCIA 2022</t>
        </is>
      </c>
    </row>
    <row r="11" ht="18" customHeight="1">
      <c r="A11" s="60" t="inlineStr">
        <is>
          <t>Conservadores</t>
        </is>
      </c>
      <c r="B11" s="61">
        <f>COUNTIF(Liderancas!D3:D200,"Conservador")</f>
        <v/>
      </c>
    </row>
    <row r="12" ht="18" customHeight="1">
      <c r="A12" s="60" t="inlineStr">
        <is>
          <t>Divididos</t>
        </is>
      </c>
      <c r="B12" s="62">
        <f>COUNTIF(Liderancas!D3:D200,"Dividido")</f>
        <v/>
      </c>
    </row>
    <row r="13" ht="18" customHeight="1">
      <c r="A13" s="60" t="inlineStr">
        <is>
          <t>Progressistas</t>
        </is>
      </c>
      <c r="B13" s="63">
        <f>COUNTIF(Liderancas!D3:D200,"Progressista")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4A017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64" t="inlineStr">
        <is>
          <t>INSTRUCOES DE PREENCHIMENTO</t>
        </is>
      </c>
    </row>
    <row r="2">
      <c r="A2" s="65" t="n"/>
      <c r="B2" s="65" t="n"/>
      <c r="C2" s="65" t="n"/>
      <c r="D2" s="65" t="n"/>
      <c r="E2" s="65" t="n"/>
      <c r="F2" s="65" t="n"/>
    </row>
    <row r="3" ht="18" customHeight="1">
      <c r="A3" s="66" t="inlineStr">
        <is>
          <t>COLUNAS DE CAMPO (B, E)</t>
        </is>
      </c>
      <c r="B3" s="65" t="n"/>
      <c r="C3" s="65" t="n"/>
      <c r="D3" s="65" t="n"/>
      <c r="E3" s="65" t="n"/>
      <c r="F3" s="65" t="n"/>
    </row>
    <row r="4" ht="18" customHeight="1">
      <c r="A4" s="65" t="n"/>
      <c r="B4" s="67" t="inlineStr">
        <is>
          <t>Status: classifique cada municipio conforme o andamento do trabalho de campo</t>
        </is>
      </c>
      <c r="C4" s="65" t="n"/>
      <c r="D4" s="65" t="n"/>
      <c r="E4" s="65" t="n"/>
      <c r="F4" s="65" t="n"/>
    </row>
    <row r="5" ht="18" customHeight="1">
      <c r="A5" s="65" t="n"/>
      <c r="B5" s="67" t="inlineStr">
        <is>
          <t>Data da Visita: preencha quando a visita for realizada</t>
        </is>
      </c>
      <c r="C5" s="65" t="n"/>
      <c r="D5" s="65" t="n"/>
      <c r="E5" s="65" t="n"/>
      <c r="F5" s="65" t="n"/>
    </row>
    <row r="6">
      <c r="A6" s="65" t="n"/>
      <c r="B6" s="65" t="n"/>
      <c r="C6" s="65" t="n"/>
      <c r="D6" s="65" t="n"/>
      <c r="E6" s="65" t="n"/>
      <c r="F6" s="65" t="n"/>
    </row>
    <row r="7" ht="18" customHeight="1">
      <c r="A7" s="66" t="inlineStr">
        <is>
          <t>LIDERANCA LOCAL (F-J)</t>
        </is>
      </c>
      <c r="B7" s="65" t="n"/>
      <c r="C7" s="65" t="n"/>
      <c r="D7" s="65" t="n"/>
      <c r="E7" s="65" t="n"/>
      <c r="F7" s="65" t="n"/>
    </row>
    <row r="8" ht="18" customHeight="1">
      <c r="A8" s="65" t="n"/>
      <c r="B8" s="67" t="inlineStr">
        <is>
          <t>Preencha com os dados do contato principal em cada municipio</t>
        </is>
      </c>
      <c r="C8" s="65" t="n"/>
      <c r="D8" s="65" t="n"/>
      <c r="E8" s="65" t="n"/>
      <c r="F8" s="65" t="n"/>
    </row>
    <row r="9" ht="18" customHeight="1">
      <c r="A9" s="65" t="n"/>
      <c r="B9" s="67" t="inlineStr">
        <is>
          <t>WhatsApp: S = tem WhatsApp, N = nao tem</t>
        </is>
      </c>
      <c r="C9" s="65" t="n"/>
      <c r="D9" s="65" t="n"/>
      <c r="E9" s="65" t="n"/>
      <c r="F9" s="65" t="n"/>
    </row>
    <row r="10">
      <c r="A10" s="65" t="n"/>
      <c r="B10" s="65" t="n"/>
      <c r="C10" s="65" t="n"/>
      <c r="D10" s="65" t="n"/>
      <c r="E10" s="65" t="n"/>
      <c r="F10" s="65" t="n"/>
    </row>
    <row r="11" ht="18" customHeight="1">
      <c r="A11" s="66" t="inlineStr">
        <is>
          <t>DADOS ELEITORAIS (K-N)</t>
        </is>
      </c>
      <c r="B11" s="65" t="n"/>
      <c r="C11" s="65" t="n"/>
      <c r="D11" s="65" t="n"/>
      <c r="E11" s="65" t="n"/>
      <c r="F11" s="65" t="n"/>
    </row>
    <row r="12" ht="18" customHeight="1">
      <c r="A12" s="65" t="n"/>
      <c r="B12" s="68" t="inlineStr">
        <is>
          <t>Colunas K a N sao preenchidas automaticamente - NAO editar</t>
        </is>
      </c>
      <c r="C12" s="65" t="n"/>
      <c r="D12" s="65" t="n"/>
      <c r="E12" s="65" t="n"/>
      <c r="F12" s="65" t="n"/>
    </row>
    <row r="13" ht="18" customHeight="1">
      <c r="A13" s="65" t="n"/>
      <c r="B13" s="67" t="inlineStr">
        <is>
          <t>Tendencia e Prioridade vem do cruzamento TSE 2022 + analise geografica</t>
        </is>
      </c>
      <c r="C13" s="65" t="n"/>
      <c r="D13" s="65" t="n"/>
      <c r="E13" s="65" t="n"/>
      <c r="F13" s="65" t="n"/>
    </row>
    <row r="14">
      <c r="A14" s="65" t="n"/>
      <c r="B14" s="65" t="n"/>
      <c r="C14" s="65" t="n"/>
      <c r="D14" s="65" t="n"/>
      <c r="E14" s="65" t="n"/>
      <c r="F14" s="65" t="n"/>
    </row>
    <row r="15" ht="18" customHeight="1">
      <c r="A15" s="66" t="inlineStr">
        <is>
          <t>LEGENDA DE CORES</t>
        </is>
      </c>
      <c r="B15" s="65" t="n"/>
      <c r="C15" s="65" t="n"/>
      <c r="D15" s="65" t="n"/>
      <c r="E15" s="65" t="n"/>
      <c r="F15" s="65" t="n"/>
    </row>
    <row r="16" ht="18" customHeight="1">
      <c r="A16" s="65" t="n"/>
      <c r="B16" s="69" t="n"/>
      <c r="C16" s="67" t="inlineStr">
        <is>
          <t>Visitado - municipio ja recebeu visita</t>
        </is>
      </c>
      <c r="D16" s="65" t="n"/>
      <c r="E16" s="65" t="n"/>
      <c r="F16" s="65" t="n"/>
    </row>
    <row r="17" ht="18" customHeight="1">
      <c r="A17" s="65" t="n"/>
      <c r="B17" s="70" t="n"/>
      <c r="C17" s="67" t="inlineStr">
        <is>
          <t>Agendado - visita confirmada</t>
        </is>
      </c>
      <c r="D17" s="65" t="n"/>
      <c r="E17" s="65" t="n"/>
      <c r="F17" s="65" t="n"/>
    </row>
    <row r="18" ht="18" customHeight="1">
      <c r="A18" s="65" t="n"/>
      <c r="B18" s="71" t="n"/>
      <c r="C18" s="67" t="inlineStr">
        <is>
          <t>Com lideranca - contato identificado</t>
        </is>
      </c>
      <c r="D18" s="65" t="n"/>
      <c r="E18" s="65" t="n"/>
      <c r="F18" s="65" t="n"/>
    </row>
    <row r="19" ht="18" customHeight="1">
      <c r="A19" s="65" t="n"/>
      <c r="B19" s="72" t="n"/>
      <c r="C19" s="67" t="inlineStr">
        <is>
          <t>Prioritario - alta prioridade sem contato</t>
        </is>
      </c>
      <c r="D19" s="65" t="n"/>
      <c r="E19" s="65" t="n"/>
      <c r="F19" s="65" t="n"/>
    </row>
    <row r="20" ht="18" customHeight="1">
      <c r="A20" s="65" t="n"/>
      <c r="B20" s="73" t="n"/>
      <c r="C20" s="67" t="inlineStr">
        <is>
          <t>Pendente - sem informacao</t>
        </is>
      </c>
      <c r="D20" s="65" t="n"/>
      <c r="E20" s="65" t="n"/>
      <c r="F20" s="65" t="n"/>
    </row>
    <row r="21">
      <c r="A21" s="65" t="n"/>
      <c r="B21" s="65" t="n"/>
      <c r="C21" s="65" t="n"/>
      <c r="D21" s="65" t="n"/>
      <c r="E21" s="65" t="n"/>
      <c r="F21" s="65" t="n"/>
    </row>
    <row r="22" ht="18" customHeight="1">
      <c r="A22" s="65" t="n"/>
      <c r="B22" s="74" t="inlineStr">
        <is>
          <t>Apos preencher, envie o arquivo para importacao no sistema.</t>
        </is>
      </c>
      <c r="C22" s="65" t="n"/>
      <c r="D22" s="65" t="n"/>
      <c r="E22" s="65" t="n"/>
      <c r="F22" s="65" t="n"/>
    </row>
    <row r="23">
      <c r="A23" s="65" t="n"/>
      <c r="B23" s="65" t="n"/>
      <c r="C23" s="65" t="n"/>
      <c r="D23" s="65" t="n"/>
      <c r="E23" s="65" t="n"/>
      <c r="F23" s="65" t="n"/>
    </row>
    <row r="24">
      <c r="A24" s="65" t="n"/>
      <c r="B24" s="65" t="n"/>
      <c r="C24" s="65" t="n"/>
      <c r="D24" s="65" t="n"/>
      <c r="E24" s="65" t="n"/>
      <c r="F24" s="65" t="n"/>
    </row>
    <row r="25">
      <c r="A25" s="65" t="n"/>
      <c r="B25" s="65" t="n"/>
      <c r="C25" s="65" t="n"/>
      <c r="D25" s="65" t="n"/>
      <c r="E25" s="65" t="n"/>
      <c r="F25" s="65" t="n"/>
    </row>
    <row r="26">
      <c r="A26" s="65" t="n"/>
      <c r="B26" s="65" t="n"/>
      <c r="C26" s="65" t="n"/>
      <c r="D26" s="65" t="n"/>
      <c r="E26" s="65" t="n"/>
      <c r="F26" s="65" t="n"/>
    </row>
    <row r="27">
      <c r="A27" s="65" t="n"/>
      <c r="B27" s="65" t="n"/>
      <c r="C27" s="65" t="n"/>
      <c r="D27" s="65" t="n"/>
      <c r="E27" s="65" t="n"/>
      <c r="F27" s="65" t="n"/>
    </row>
    <row r="28">
      <c r="A28" s="65" t="n"/>
      <c r="B28" s="65" t="n"/>
      <c r="C28" s="65" t="n"/>
      <c r="D28" s="65" t="n"/>
      <c r="E28" s="65" t="n"/>
      <c r="F28" s="65" t="n"/>
    </row>
    <row r="29">
      <c r="A29" s="65" t="n"/>
      <c r="B29" s="65" t="n"/>
      <c r="C29" s="65" t="n"/>
      <c r="D29" s="65" t="n"/>
      <c r="E29" s="65" t="n"/>
      <c r="F29" s="65" t="n"/>
    </row>
    <row r="30">
      <c r="A30" s="65" t="n"/>
      <c r="B30" s="65" t="n"/>
      <c r="C30" s="65" t="n"/>
      <c r="D30" s="65" t="n"/>
      <c r="E30" s="65" t="n"/>
      <c r="F30" s="6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2026-04-15T18:22:06Z</dcterms:created>
  <dcterms:modified xmlns:dcterms="http://purl.org/dc/terms/" xmlns:xsi="http://www.w3.org/2001/XMLSchema-instance" xsi:type="dcterms:W3CDTF">2026-04-15T18:22:06Z</dcterms:modified>
</cp:coreProperties>
</file>